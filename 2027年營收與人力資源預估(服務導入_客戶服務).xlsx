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ntrip\Desktop\"/>
    </mc:Choice>
  </mc:AlternateContent>
  <xr:revisionPtr revIDLastSave="0" documentId="13_ncr:1_{D6A9FF00-1F39-4901-93D5-C0B0DCF30FB4}" xr6:coauthVersionLast="47" xr6:coauthVersionMax="47" xr10:uidLastSave="{00000000-0000-0000-0000-000000000000}"/>
  <bookViews>
    <workbookView xWindow="-120" yWindow="-120" windowWidth="29040" windowHeight="15720" xr2:uid="{6393918E-29B7-473E-9C5A-DE0E5BE983F7}"/>
  </bookViews>
  <sheets>
    <sheet name="服務導入課&amp;客戶服務課" sheetId="4" r:id="rId1"/>
    <sheet name="2027年營收與人力資源規劃" sheetId="2" r:id="rId2"/>
    <sheet name="業務部門範例" sheetId="1" r:id="rId3"/>
    <sheet name="內部計價部門範例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6" i="4" l="1"/>
  <c r="G81" i="4"/>
  <c r="G82" i="4" s="1"/>
  <c r="G78" i="4"/>
  <c r="G77" i="4"/>
  <c r="G80" i="4"/>
  <c r="F66" i="4"/>
  <c r="F65" i="4"/>
  <c r="E65" i="4"/>
  <c r="G76" i="4"/>
  <c r="E46" i="4"/>
  <c r="F41" i="4"/>
  <c r="E41" i="4"/>
  <c r="D62" i="4"/>
  <c r="E38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5" i="4"/>
  <c r="E44" i="4"/>
  <c r="E43" i="4"/>
  <c r="D42" i="4"/>
  <c r="E42" i="4" s="1"/>
  <c r="E40" i="4"/>
  <c r="E39" i="4"/>
  <c r="E74" i="4"/>
  <c r="E73" i="4"/>
  <c r="E72" i="4"/>
  <c r="L17" i="4"/>
  <c r="L18" i="4"/>
  <c r="L19" i="4"/>
  <c r="L20" i="4"/>
  <c r="L21" i="4"/>
  <c r="L22" i="4"/>
  <c r="L16" i="4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34" i="4"/>
  <c r="D34" i="4"/>
  <c r="C34" i="4"/>
  <c r="J23" i="4"/>
  <c r="K10" i="4"/>
  <c r="H10" i="4"/>
  <c r="M9" i="4"/>
  <c r="J9" i="4"/>
  <c r="E9" i="4"/>
  <c r="G9" i="4" s="1"/>
  <c r="M8" i="4"/>
  <c r="J8" i="4"/>
  <c r="E8" i="4"/>
  <c r="G8" i="4" s="1"/>
  <c r="M7" i="4"/>
  <c r="J7" i="4"/>
  <c r="E7" i="4"/>
  <c r="G7" i="4" s="1"/>
  <c r="M6" i="4"/>
  <c r="J6" i="4"/>
  <c r="E6" i="4"/>
  <c r="G6" i="4" s="1"/>
  <c r="M5" i="4"/>
  <c r="J5" i="4"/>
  <c r="E5" i="4"/>
  <c r="G5" i="4" s="1"/>
  <c r="M4" i="4"/>
  <c r="J4" i="4"/>
  <c r="E4" i="4"/>
  <c r="G4" i="4" s="1"/>
  <c r="M3" i="4"/>
  <c r="J3" i="4"/>
  <c r="E3" i="4"/>
  <c r="G28" i="3"/>
  <c r="H28" i="3"/>
  <c r="D34" i="3"/>
  <c r="E28" i="3"/>
  <c r="H27" i="3"/>
  <c r="G27" i="3"/>
  <c r="E27" i="3"/>
  <c r="H26" i="3"/>
  <c r="G26" i="3"/>
  <c r="E26" i="3"/>
  <c r="E34" i="3" s="1"/>
  <c r="E62" i="4" l="1"/>
  <c r="G27" i="4"/>
  <c r="M10" i="4"/>
  <c r="L10" i="4" s="1"/>
  <c r="G23" i="4"/>
  <c r="H26" i="4" s="1"/>
  <c r="E75" i="4"/>
  <c r="E76" i="4" s="1"/>
  <c r="H76" i="4" s="1"/>
  <c r="E10" i="4"/>
  <c r="E11" i="4" s="1"/>
  <c r="J10" i="4"/>
  <c r="I10" i="4" s="1"/>
  <c r="E23" i="4"/>
  <c r="G26" i="4" s="1"/>
  <c r="L23" i="4"/>
  <c r="H27" i="4" s="1"/>
  <c r="G3" i="4"/>
  <c r="G10" i="4" s="1"/>
  <c r="F46" i="4" l="1"/>
  <c r="E67" i="4"/>
  <c r="G28" i="4"/>
  <c r="H28" i="4"/>
  <c r="K23" i="4"/>
  <c r="F23" i="4"/>
  <c r="G11" i="4"/>
  <c r="F10" i="4"/>
  <c r="F11" i="4" s="1"/>
  <c r="F42" i="4" l="1"/>
  <c r="F51" i="4"/>
  <c r="F50" i="4"/>
  <c r="F58" i="4"/>
  <c r="F57" i="4"/>
  <c r="F45" i="4"/>
  <c r="F55" i="4"/>
  <c r="F43" i="4"/>
  <c r="F53" i="4"/>
  <c r="F52" i="4"/>
  <c r="F44" i="4"/>
  <c r="F48" i="4"/>
  <c r="F61" i="4"/>
  <c r="F54" i="4"/>
  <c r="F56" i="4"/>
  <c r="F47" i="4"/>
  <c r="F49" i="4"/>
  <c r="F59" i="4"/>
  <c r="F60" i="4"/>
  <c r="F38" i="4"/>
  <c r="F39" i="4"/>
  <c r="F40" i="4"/>
  <c r="E9" i="2"/>
  <c r="E8" i="2"/>
  <c r="E7" i="2"/>
  <c r="E6" i="2"/>
  <c r="G6" i="2" s="1"/>
  <c r="E5" i="2"/>
  <c r="G5" i="2" s="1"/>
  <c r="E4" i="2"/>
  <c r="E3" i="2"/>
  <c r="G4" i="2"/>
  <c r="K10" i="2"/>
  <c r="M9" i="2"/>
  <c r="M8" i="2"/>
  <c r="M7" i="2"/>
  <c r="M6" i="2"/>
  <c r="M5" i="2"/>
  <c r="M4" i="2"/>
  <c r="M3" i="2"/>
  <c r="M10" i="2" s="1"/>
  <c r="L10" i="2" s="1"/>
  <c r="H10" i="2"/>
  <c r="J9" i="2"/>
  <c r="J8" i="2"/>
  <c r="J7" i="2"/>
  <c r="J6" i="2"/>
  <c r="J5" i="2"/>
  <c r="J4" i="2"/>
  <c r="J3" i="2"/>
  <c r="J10" i="2" s="1"/>
  <c r="I10" i="2" s="1"/>
  <c r="D34" i="2"/>
  <c r="C34" i="2"/>
  <c r="E34" i="2"/>
  <c r="J23" i="2"/>
  <c r="E23" i="2"/>
  <c r="G26" i="2" s="1"/>
  <c r="L23" i="2"/>
  <c r="G23" i="2"/>
  <c r="G9" i="2"/>
  <c r="G8" i="2"/>
  <c r="G7" i="2"/>
  <c r="G21" i="3"/>
  <c r="L21" i="3"/>
  <c r="L19" i="3"/>
  <c r="L18" i="3"/>
  <c r="L17" i="3"/>
  <c r="L16" i="3"/>
  <c r="E23" i="3"/>
  <c r="C34" i="3"/>
  <c r="J23" i="3"/>
  <c r="G19" i="3"/>
  <c r="G18" i="3"/>
  <c r="G17" i="3"/>
  <c r="G16" i="3"/>
  <c r="G23" i="3" s="1"/>
  <c r="H10" i="3"/>
  <c r="E10" i="3"/>
  <c r="E11" i="3" s="1"/>
  <c r="J9" i="3"/>
  <c r="G9" i="3"/>
  <c r="J8" i="3"/>
  <c r="G8" i="3"/>
  <c r="J7" i="3"/>
  <c r="G7" i="3"/>
  <c r="J6" i="3"/>
  <c r="G6" i="3"/>
  <c r="J5" i="3"/>
  <c r="G5" i="3"/>
  <c r="J4" i="3"/>
  <c r="G4" i="3"/>
  <c r="J3" i="3"/>
  <c r="J10" i="3" s="1"/>
  <c r="I10" i="3" s="1"/>
  <c r="G3" i="3"/>
  <c r="G10" i="3" s="1"/>
  <c r="F11" i="1"/>
  <c r="G11" i="1"/>
  <c r="E11" i="1"/>
  <c r="J23" i="1"/>
  <c r="G27" i="1" s="1"/>
  <c r="L22" i="1"/>
  <c r="L21" i="1"/>
  <c r="L20" i="1"/>
  <c r="L19" i="1"/>
  <c r="L18" i="1"/>
  <c r="L17" i="1"/>
  <c r="L16" i="1"/>
  <c r="L23" i="1" s="1"/>
  <c r="H27" i="1" s="1"/>
  <c r="D34" i="1"/>
  <c r="C34" i="1"/>
  <c r="G26" i="1" s="1"/>
  <c r="G28" i="1" s="1"/>
  <c r="E26" i="1"/>
  <c r="E28" i="1"/>
  <c r="E29" i="1"/>
  <c r="E30" i="1"/>
  <c r="E31" i="1"/>
  <c r="E32" i="1"/>
  <c r="E33" i="1"/>
  <c r="E27" i="1"/>
  <c r="E23" i="1"/>
  <c r="G22" i="1"/>
  <c r="G21" i="1"/>
  <c r="G20" i="1"/>
  <c r="G19" i="1"/>
  <c r="G18" i="1"/>
  <c r="G17" i="1"/>
  <c r="G16" i="1"/>
  <c r="F62" i="4" l="1"/>
  <c r="G3" i="2"/>
  <c r="E10" i="2"/>
  <c r="E11" i="2" s="1"/>
  <c r="G10" i="2"/>
  <c r="G27" i="2"/>
  <c r="G28" i="2"/>
  <c r="F23" i="2"/>
  <c r="H26" i="2"/>
  <c r="K23" i="2"/>
  <c r="H27" i="2"/>
  <c r="L23" i="3"/>
  <c r="G11" i="3"/>
  <c r="F10" i="3"/>
  <c r="F11" i="3" s="1"/>
  <c r="F23" i="3"/>
  <c r="G23" i="1"/>
  <c r="E34" i="1"/>
  <c r="K23" i="1"/>
  <c r="F10" i="2" l="1"/>
  <c r="F11" i="2"/>
  <c r="G11" i="2"/>
  <c r="H28" i="2"/>
  <c r="K23" i="3"/>
  <c r="F23" i="1"/>
  <c r="H26" i="1"/>
  <c r="H28" i="1" s="1"/>
  <c r="F67" i="4" l="1"/>
  <c r="H10" i="1"/>
  <c r="J9" i="1"/>
  <c r="J8" i="1"/>
  <c r="J7" i="1"/>
  <c r="J6" i="1"/>
  <c r="J5" i="1"/>
  <c r="J4" i="1"/>
  <c r="J3" i="1"/>
  <c r="G4" i="1"/>
  <c r="G5" i="1"/>
  <c r="G6" i="1"/>
  <c r="G7" i="1"/>
  <c r="G8" i="1"/>
  <c r="G9" i="1"/>
  <c r="G3" i="1"/>
  <c r="E10" i="1"/>
  <c r="J10" i="1" l="1"/>
  <c r="I10" i="1" s="1"/>
  <c r="G10" i="1"/>
  <c r="F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Fontrip</author>
  </authors>
  <commentList>
    <comment ref="D27" authorId="0" shapeId="0" xr:uid="{62354243-928B-416F-9E63-A8025B4C0C75}">
      <text>
        <r>
          <rPr>
            <b/>
            <sz val="9"/>
            <color indexed="81"/>
            <rFont val="Tahoma"/>
            <family val="2"/>
          </rPr>
          <t>Fontrip: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課長-Joanna
Lily、Lala、飄飄
(約聘-Vicky)</t>
        </r>
      </text>
    </comment>
    <comment ref="D28" authorId="0" shapeId="0" xr:uid="{FE0DE597-05DE-474B-A255-A938FE66218F}">
      <text>
        <r>
          <rPr>
            <b/>
            <sz val="9"/>
            <color indexed="81"/>
            <rFont val="Tahoma"/>
            <family val="2"/>
          </rPr>
          <t>Fontrip:</t>
        </r>
        <r>
          <rPr>
            <sz val="9"/>
            <color indexed="81"/>
            <rFont val="Tahoma"/>
            <family val="2"/>
          </rPr>
          <t xml:space="preserve">
Hippo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Jine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Stephen
Iris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Jo</t>
        </r>
      </text>
    </comment>
    <comment ref="F41" authorId="0" shapeId="0" xr:uid="{4DC5E1FA-70B7-4887-A63F-D7199D87EF5D}">
      <text>
        <r>
          <rPr>
            <b/>
            <sz val="9"/>
            <color indexed="81"/>
            <rFont val="Tahoma"/>
            <family val="2"/>
          </rPr>
          <t>Fontrip: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計算公式-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細明體"/>
            <family val="3"/>
            <charset val="136"/>
          </rPr>
          <t>小時*每月2天*12個月*2館</t>
        </r>
      </text>
    </comment>
    <comment ref="E66" authorId="0" shapeId="0" xr:uid="{DFA59608-5117-49D9-A438-6F2CA61CFBF6}">
      <text>
        <r>
          <rPr>
            <b/>
            <sz val="9"/>
            <color indexed="81"/>
            <rFont val="Tahoma"/>
            <family val="2"/>
          </rPr>
          <t>Fontrip: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Microsoft JhengHei Light"/>
            <family val="2"/>
            <charset val="136"/>
          </rPr>
          <t>套票(245*8*2*0.9)=3528
套票-Johnny(57*8*1*0.9)=410.4
票務-Jine(245*8*1*0.9)=1764
票務-Stephen(170*8*0.9)=1224
票務-Hippo(121*8*0.9)=871.2</t>
        </r>
      </text>
    </comment>
  </commentList>
</comments>
</file>

<file path=xl/sharedStrings.xml><?xml version="1.0" encoding="utf-8"?>
<sst xmlns="http://schemas.openxmlformats.org/spreadsheetml/2006/main" count="406" uniqueCount="91">
  <si>
    <t>收入名稱</t>
    <phoneticPr fontId="3" type="noConversion"/>
  </si>
  <si>
    <t>收入類型</t>
    <phoneticPr fontId="3" type="noConversion"/>
  </si>
  <si>
    <t>國家</t>
    <phoneticPr fontId="3" type="noConversion"/>
  </si>
  <si>
    <t>預估營收</t>
    <phoneticPr fontId="3" type="noConversion"/>
  </si>
  <si>
    <t>預估毛利率</t>
    <phoneticPr fontId="3" type="noConversion"/>
  </si>
  <si>
    <t>預估毛利額</t>
    <phoneticPr fontId="3" type="noConversion"/>
  </si>
  <si>
    <t>旅遊產品銷售</t>
    <phoneticPr fontId="3" type="noConversion"/>
  </si>
  <si>
    <t>台灣</t>
    <phoneticPr fontId="3" type="noConversion"/>
  </si>
  <si>
    <t>日本</t>
    <phoneticPr fontId="3" type="noConversion"/>
  </si>
  <si>
    <t>香港</t>
    <phoneticPr fontId="3" type="noConversion"/>
  </si>
  <si>
    <t>SaaS服務</t>
    <phoneticPr fontId="3" type="noConversion"/>
  </si>
  <si>
    <t>旅遊專案</t>
    <phoneticPr fontId="3" type="noConversion"/>
  </si>
  <si>
    <t>專案收入</t>
    <phoneticPr fontId="3" type="noConversion"/>
  </si>
  <si>
    <t>系統專案</t>
    <phoneticPr fontId="3" type="noConversion"/>
  </si>
  <si>
    <t>行銷專案</t>
    <phoneticPr fontId="3" type="noConversion"/>
  </si>
  <si>
    <t>小計</t>
    <phoneticPr fontId="3" type="noConversion"/>
  </si>
  <si>
    <t>營運處年度營收預估</t>
    <phoneticPr fontId="3" type="noConversion"/>
  </si>
  <si>
    <t>部門名稱</t>
    <phoneticPr fontId="3" type="noConversion"/>
  </si>
  <si>
    <t>產品收入</t>
    <phoneticPr fontId="3" type="noConversion"/>
  </si>
  <si>
    <t>系統收入</t>
    <phoneticPr fontId="3" type="noConversion"/>
  </si>
  <si>
    <t>預估收入名稱</t>
    <phoneticPr fontId="3" type="noConversion"/>
  </si>
  <si>
    <t>旅遊產品發展部</t>
    <phoneticPr fontId="3" type="noConversion"/>
  </si>
  <si>
    <t>2025人力</t>
    <phoneticPr fontId="3" type="noConversion"/>
  </si>
  <si>
    <t>新增人力</t>
    <phoneticPr fontId="3" type="noConversion"/>
  </si>
  <si>
    <t>人力類型</t>
    <phoneticPr fontId="3" type="noConversion"/>
  </si>
  <si>
    <t>2026需求人力</t>
    <phoneticPr fontId="3" type="noConversion"/>
  </si>
  <si>
    <t>策管</t>
    <phoneticPr fontId="3" type="noConversion"/>
  </si>
  <si>
    <t>旅遊產品行銷</t>
    <phoneticPr fontId="3" type="noConversion"/>
  </si>
  <si>
    <t>台灣目的地</t>
    <phoneticPr fontId="3" type="noConversion"/>
  </si>
  <si>
    <t>關鍵區域</t>
    <phoneticPr fontId="3" type="noConversion"/>
  </si>
  <si>
    <t>海外目的地</t>
    <phoneticPr fontId="3" type="noConversion"/>
  </si>
  <si>
    <t>通路開發</t>
    <phoneticPr fontId="3" type="noConversion"/>
  </si>
  <si>
    <t>CityPass發展</t>
    <phoneticPr fontId="3" type="noConversion"/>
  </si>
  <si>
    <t>加總收入</t>
    <phoneticPr fontId="3" type="noConversion"/>
  </si>
  <si>
    <t>加總人力</t>
    <phoneticPr fontId="3" type="noConversion"/>
  </si>
  <si>
    <t>主管</t>
    <phoneticPr fontId="3" type="noConversion"/>
  </si>
  <si>
    <t>人均產值</t>
    <phoneticPr fontId="3" type="noConversion"/>
  </si>
  <si>
    <t>人均毛利</t>
    <phoneticPr fontId="3" type="noConversion"/>
  </si>
  <si>
    <t>YOY</t>
    <phoneticPr fontId="3" type="noConversion"/>
  </si>
  <si>
    <t>客戶服務部</t>
    <phoneticPr fontId="3" type="noConversion"/>
  </si>
  <si>
    <t>服務導入部門</t>
    <phoneticPr fontId="3" type="noConversion"/>
  </si>
  <si>
    <t>客戶服務課</t>
    <phoneticPr fontId="3" type="noConversion"/>
  </si>
  <si>
    <t>服務導入課</t>
    <phoneticPr fontId="3" type="noConversion"/>
  </si>
  <si>
    <t>故宮專案駐點人員不列在此員額內，需另計</t>
    <phoneticPr fontId="3" type="noConversion"/>
  </si>
  <si>
    <t>2027需求人力</t>
    <phoneticPr fontId="3" type="noConversion"/>
  </si>
  <si>
    <t>2026人力</t>
    <phoneticPr fontId="3" type="noConversion"/>
  </si>
  <si>
    <t>B2C網站​代​營​運​客服</t>
    <phoneticPr fontId="3" type="noConversion"/>
  </si>
  <si>
    <t>營收成長率</t>
    <phoneticPr fontId="3" type="noConversion"/>
  </si>
  <si>
    <t>2026客服實際工時(h)</t>
    <phoneticPr fontId="3" type="noConversion"/>
  </si>
  <si>
    <t>2027客服預估工時(h)</t>
    <phoneticPr fontId="3" type="noConversion"/>
  </si>
  <si>
    <t>2027人力利用率</t>
    <phoneticPr fontId="3" type="noConversion"/>
  </si>
  <si>
    <t>2026平均人力利用率</t>
    <phoneticPr fontId="3" type="noConversion"/>
  </si>
  <si>
    <t>外部</t>
    <phoneticPr fontId="3" type="noConversion"/>
  </si>
  <si>
    <t>場域-系統諮詢/異常排解/產品設定調整..等</t>
    <phoneticPr fontId="3" type="noConversion"/>
  </si>
  <si>
    <t>ReleaseItem驗測、項目營運分析及整合測試</t>
    <phoneticPr fontId="3" type="noConversion"/>
  </si>
  <si>
    <t>內部</t>
  </si>
  <si>
    <t>*專案駐點/連假值班</t>
    <phoneticPr fontId="3" type="noConversion"/>
  </si>
  <si>
    <t>跨部門-系統諮詢/異常排解/產品設定調整..等</t>
    <phoneticPr fontId="3" type="noConversion"/>
  </si>
  <si>
    <t>跨部門溝通會議(產品需求確認、營運情境釐清、流程優化)</t>
    <phoneticPr fontId="3" type="noConversion"/>
  </si>
  <si>
    <t>驗測新系統</t>
    <phoneticPr fontId="3" type="noConversion"/>
  </si>
  <si>
    <t>跨部門/部門內部教育訓練</t>
    <phoneticPr fontId="3" type="noConversion"/>
  </si>
  <si>
    <t>公司活動/會議</t>
    <phoneticPr fontId="3" type="noConversion"/>
  </si>
  <si>
    <t>製作教學手冊/指導書/跨部門溝通文件</t>
    <phoneticPr fontId="3" type="noConversion"/>
  </si>
  <si>
    <t>撰寫工作日誌</t>
    <phoneticPr fontId="3" type="noConversion"/>
  </si>
  <si>
    <t>部門會議(月會、晨會、1 on 1..等)</t>
    <phoneticPr fontId="3" type="noConversion"/>
  </si>
  <si>
    <t>*設備出機前置/回庫整理</t>
    <phoneticPr fontId="3" type="noConversion"/>
  </si>
  <si>
    <t>Task、Issus、Bug、開發需求、反核銷上單</t>
    <phoneticPr fontId="3" type="noConversion"/>
  </si>
  <si>
    <t>撰寫/調整績效目標</t>
    <phoneticPr fontId="3" type="noConversion"/>
  </si>
  <si>
    <t>協助跨部門資料彙整與工項執行</t>
    <phoneticPr fontId="3" type="noConversion"/>
  </si>
  <si>
    <t>主管臨時交辦事項</t>
    <phoneticPr fontId="3" type="noConversion"/>
  </si>
  <si>
    <t>協助現場建置/教育訓練</t>
    <phoneticPr fontId="3" type="noConversion"/>
  </si>
  <si>
    <t>場域溝通會議(產品需求確認、營運情境釐清、流程優化)</t>
    <phoneticPr fontId="3" type="noConversion"/>
  </si>
  <si>
    <t>專案會議(kick off、場域雙週會..等)</t>
    <phoneticPr fontId="3" type="noConversion"/>
  </si>
  <si>
    <t>部門會議(月會、晨會、同仁1 on 1)</t>
    <phoneticPr fontId="3" type="noConversion"/>
  </si>
  <si>
    <t>既有流程優化與討論</t>
    <phoneticPr fontId="3" type="noConversion"/>
  </si>
  <si>
    <t>申報支單/領用作業</t>
    <phoneticPr fontId="3" type="noConversion"/>
  </si>
  <si>
    <t>外包廠商溝通會議</t>
    <phoneticPr fontId="3" type="noConversion"/>
  </si>
  <si>
    <t>2026實際</t>
    <phoneticPr fontId="3" type="noConversion"/>
  </si>
  <si>
    <t>2027預估</t>
    <phoneticPr fontId="3" type="noConversion"/>
  </si>
  <si>
    <t>每月平均服務時間</t>
    <phoneticPr fontId="3" type="noConversion"/>
  </si>
  <si>
    <t>2026預估服務時數
導入5位(套*2、票*2.5)</t>
    <phoneticPr fontId="3" type="noConversion"/>
  </si>
  <si>
    <t>人力利用率</t>
    <phoneticPr fontId="3" type="noConversion"/>
  </si>
  <si>
    <t>工作項目</t>
    <phoneticPr fontId="3" type="noConversion"/>
  </si>
  <si>
    <t>2027預估服務時數
導入6位(套*3、票*3)</t>
    <phoneticPr fontId="3" type="noConversion"/>
  </si>
  <si>
    <t>2027客服標準工時(h)</t>
    <phoneticPr fontId="3" type="noConversion"/>
  </si>
  <si>
    <t>2026客服標準工時(h)</t>
    <phoneticPr fontId="3" type="noConversion"/>
  </si>
  <si>
    <t>標準工時(h)</t>
    <phoneticPr fontId="3" type="noConversion"/>
  </si>
  <si>
    <t>實際工時(h)</t>
    <phoneticPr fontId="3" type="noConversion"/>
  </si>
  <si>
    <t>類別</t>
    <phoneticPr fontId="3" type="noConversion"/>
  </si>
  <si>
    <t>營收成長預估2027人力利用率，須再補1人力</t>
    <phoneticPr fontId="3" type="noConversion"/>
  </si>
  <si>
    <t>營收成長預估2027人力利用率，須再補2人力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</si>
</sst>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0.0%"/>
    <numFmt numFmtId="178" formatCode="_-* #,##0.0_-;\-* #,##0.0_-;_-* &quot;-&quot;??_-;_-@_-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rgb="FFC00000"/>
      <name val="微軟正黑體"/>
      <family val="2"/>
      <charset val="136"/>
    </font>
    <font>
      <sz val="10"/>
      <color theme="4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微軟正黑體"/>
      <family val="2"/>
      <charset val="136"/>
    </font>
    <font>
      <sz val="12"/>
      <color theme="1"/>
      <name val="Microsoft JhengHei Light"/>
      <family val="2"/>
      <charset val="136"/>
    </font>
    <font>
      <sz val="10"/>
      <color theme="1"/>
      <name val="Microsoft JhengHei Light"/>
      <family val="2"/>
      <charset val="136"/>
    </font>
    <font>
      <sz val="10"/>
      <color rgb="FF1A1B19"/>
      <name val="Noto Sans TC"/>
      <family val="2"/>
      <charset val="136"/>
    </font>
    <font>
      <sz val="10"/>
      <color rgb="FFFF0000"/>
      <name val="Noto Sans TC"/>
      <family val="2"/>
      <charset val="136"/>
    </font>
    <font>
      <sz val="9"/>
      <color indexed="81"/>
      <name val="Microsoft JhengHei Light"/>
      <family val="2"/>
      <charset val="136"/>
    </font>
    <font>
      <b/>
      <sz val="10"/>
      <color theme="4"/>
      <name val="Microsoft JhengHei Light"/>
      <family val="2"/>
      <charset val="136"/>
    </font>
    <font>
      <sz val="10"/>
      <color rgb="FFFF0000"/>
      <name val="微軟正黑體"/>
      <family val="2"/>
      <charset val="136"/>
    </font>
    <font>
      <sz val="10"/>
      <color theme="5" tint="-0.249977111117893"/>
      <name val="微軟正黑體"/>
      <family val="2"/>
      <charset val="136"/>
    </font>
    <font>
      <sz val="10"/>
      <color theme="1"/>
      <name val="Noto Sans TC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2" fillId="0" borderId="1" xfId="0" applyFont="1" applyBorder="1">
      <alignment vertical="center"/>
    </xf>
    <xf numFmtId="176" fontId="2" fillId="0" borderId="1" xfId="1" applyNumberFormat="1" applyFont="1" applyBorder="1">
      <alignment vertical="center"/>
    </xf>
    <xf numFmtId="177" fontId="2" fillId="0" borderId="1" xfId="2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1" applyNumberFormat="1" applyFont="1" applyBorder="1">
      <alignment vertical="center"/>
    </xf>
    <xf numFmtId="177" fontId="2" fillId="0" borderId="0" xfId="2" applyNumberFormat="1" applyFont="1" applyBorder="1">
      <alignment vertical="center"/>
    </xf>
    <xf numFmtId="0" fontId="2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1" applyNumberFormat="1" applyFont="1" applyFill="1" applyBorder="1">
      <alignment vertical="center"/>
    </xf>
    <xf numFmtId="177" fontId="2" fillId="2" borderId="1" xfId="2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2" fillId="3" borderId="0" xfId="0" applyFont="1" applyFill="1">
      <alignment vertical="center"/>
    </xf>
    <xf numFmtId="0" fontId="10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3" borderId="0" xfId="1" applyNumberFormat="1" applyFont="1" applyFill="1">
      <alignment vertical="center"/>
    </xf>
    <xf numFmtId="177" fontId="2" fillId="3" borderId="0" xfId="2" applyNumberFormat="1" applyFont="1" applyFill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1" applyNumberFormat="1" applyFont="1" applyFill="1">
      <alignment vertical="center"/>
    </xf>
    <xf numFmtId="9" fontId="4" fillId="4" borderId="0" xfId="2" applyFont="1" applyFill="1">
      <alignment vertical="center"/>
    </xf>
    <xf numFmtId="176" fontId="2" fillId="0" borderId="0" xfId="1" applyNumberFormat="1" applyFont="1" applyFill="1" applyBorder="1" applyAlignment="1">
      <alignment vertical="center" wrapText="1"/>
    </xf>
    <xf numFmtId="176" fontId="2" fillId="0" borderId="0" xfId="1" applyNumberFormat="1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vertical="center" wrapText="1"/>
    </xf>
    <xf numFmtId="9" fontId="2" fillId="0" borderId="0" xfId="2" applyFont="1" applyFill="1" applyBorder="1">
      <alignment vertical="center"/>
    </xf>
    <xf numFmtId="176" fontId="2" fillId="5" borderId="1" xfId="1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1" fontId="13" fillId="0" borderId="0" xfId="0" applyNumberFormat="1" applyFont="1">
      <alignment vertical="center"/>
    </xf>
    <xf numFmtId="176" fontId="2" fillId="0" borderId="1" xfId="1" applyNumberFormat="1" applyFont="1" applyFill="1" applyBorder="1" applyAlignment="1">
      <alignment vertical="center" wrapText="1"/>
    </xf>
    <xf numFmtId="176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0" fontId="1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3" fillId="0" borderId="1" xfId="0" applyFont="1" applyFill="1" applyBorder="1">
      <alignment vertical="center"/>
    </xf>
    <xf numFmtId="0" fontId="13" fillId="5" borderId="1" xfId="0" applyFont="1" applyFill="1" applyBorder="1" applyAlignment="1">
      <alignment horizontal="right" vertical="center" wrapText="1"/>
    </xf>
    <xf numFmtId="178" fontId="13" fillId="0" borderId="1" xfId="1" applyNumberFormat="1" applyFont="1" applyBorder="1">
      <alignment vertical="center"/>
    </xf>
    <xf numFmtId="176" fontId="13" fillId="0" borderId="1" xfId="1" applyNumberFormat="1" applyFont="1" applyBorder="1">
      <alignment vertical="center"/>
    </xf>
    <xf numFmtId="176" fontId="13" fillId="5" borderId="1" xfId="1" applyNumberFormat="1" applyFont="1" applyFill="1" applyBorder="1">
      <alignment vertical="center"/>
    </xf>
    <xf numFmtId="176" fontId="13" fillId="0" borderId="1" xfId="1" applyNumberFormat="1" applyFont="1" applyFill="1" applyBorder="1">
      <alignment vertical="center"/>
    </xf>
    <xf numFmtId="0" fontId="13" fillId="0" borderId="0" xfId="0" applyFont="1" applyBorder="1" applyAlignment="1">
      <alignment horizontal="right" vertical="center" wrapText="1"/>
    </xf>
    <xf numFmtId="176" fontId="13" fillId="0" borderId="0" xfId="0" applyNumberFormat="1" applyFont="1" applyBorder="1">
      <alignment vertical="center"/>
    </xf>
    <xf numFmtId="0" fontId="0" fillId="0" borderId="0" xfId="0" applyBorder="1">
      <alignment vertical="center"/>
    </xf>
    <xf numFmtId="176" fontId="13" fillId="4" borderId="0" xfId="0" applyNumberFormat="1" applyFont="1" applyFill="1" applyBorder="1">
      <alignment vertical="center"/>
    </xf>
    <xf numFmtId="9" fontId="13" fillId="4" borderId="0" xfId="2" applyFont="1" applyFill="1">
      <alignment vertical="center"/>
    </xf>
    <xf numFmtId="176" fontId="13" fillId="3" borderId="0" xfId="0" applyNumberFormat="1" applyFont="1" applyFill="1" applyBorder="1">
      <alignment vertical="center"/>
    </xf>
    <xf numFmtId="0" fontId="13" fillId="3" borderId="0" xfId="0" applyFont="1" applyFill="1">
      <alignment vertical="center"/>
    </xf>
    <xf numFmtId="9" fontId="13" fillId="3" borderId="0" xfId="2" applyFont="1" applyFill="1">
      <alignment vertical="center"/>
    </xf>
    <xf numFmtId="176" fontId="1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176" fontId="13" fillId="5" borderId="1" xfId="0" applyNumberFormat="1" applyFont="1" applyFill="1" applyBorder="1">
      <alignment vertical="center"/>
    </xf>
    <xf numFmtId="0" fontId="16" fillId="3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6" fillId="0" borderId="0" xfId="0" applyFont="1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12" fillId="0" borderId="0" xfId="0" applyFont="1" applyFill="1" applyBorder="1" applyAlignment="1">
      <alignment vertical="center" wrapText="1"/>
    </xf>
    <xf numFmtId="176" fontId="12" fillId="0" borderId="0" xfId="1" applyNumberFormat="1" applyFont="1" applyFill="1" applyBorder="1">
      <alignment vertical="center"/>
    </xf>
    <xf numFmtId="0" fontId="11" fillId="0" borderId="0" xfId="0" applyFont="1" applyFill="1" applyBorder="1">
      <alignment vertical="center"/>
    </xf>
    <xf numFmtId="9" fontId="12" fillId="0" borderId="0" xfId="2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13" fillId="0" borderId="0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176" fontId="13" fillId="0" borderId="1" xfId="0" applyNumberFormat="1" applyFont="1" applyFill="1" applyBorder="1">
      <alignment vertical="center"/>
    </xf>
    <xf numFmtId="0" fontId="16" fillId="0" borderId="0" xfId="0" applyFont="1" applyFill="1" applyAlignment="1">
      <alignment horizontal="center" vertical="center"/>
    </xf>
    <xf numFmtId="1" fontId="13" fillId="0" borderId="0" xfId="0" applyNumberFormat="1" applyFont="1" applyFill="1">
      <alignment vertical="center"/>
    </xf>
    <xf numFmtId="9" fontId="13" fillId="0" borderId="0" xfId="2" applyFont="1" applyFill="1">
      <alignment vertical="center"/>
    </xf>
    <xf numFmtId="0" fontId="14" fillId="0" borderId="0" xfId="0" applyFont="1" applyFill="1">
      <alignment vertical="center"/>
    </xf>
    <xf numFmtId="43" fontId="14" fillId="0" borderId="0" xfId="0" applyNumberFormat="1" applyFont="1" applyFill="1">
      <alignment vertical="center"/>
    </xf>
    <xf numFmtId="9" fontId="14" fillId="0" borderId="0" xfId="2" applyFont="1" applyFill="1">
      <alignment vertical="center"/>
    </xf>
    <xf numFmtId="0" fontId="6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43" fontId="17" fillId="0" borderId="0" xfId="0" applyNumberFormat="1" applyFont="1" applyAlignment="1">
      <alignment horizontal="right" vertical="center"/>
    </xf>
    <xf numFmtId="176" fontId="18" fillId="0" borderId="0" xfId="1" applyNumberFormat="1" applyFont="1" applyFill="1" applyBorder="1">
      <alignment vertical="center"/>
    </xf>
    <xf numFmtId="176" fontId="18" fillId="0" borderId="0" xfId="1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3" fontId="2" fillId="0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 wrapText="1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ittc/Dropbox/00Pitt&#33258;&#24049;&#24037;&#20316;&#21312;/00001.Fontrip&#24180;&#24230;&#35215;&#21123;/2027&#29151;&#36939;&#35336;&#31639;&#37325;&#35201;&#36039;&#26009;/00000.%20&#24180;&#24230;&#30446;&#27161;&#33287;&#38928;&#31639;&#35215;&#21123;/00001.%20&#30446;&#27161;&#35215;&#21123;/2027&#35920;&#36259;&#31185;&#25216;&#24180;&#24230;&#30446;&#27161;&#33287;&#20154;&#21147;&#36027;&#29992;&#35215;&#21123;_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"/>
      <sheetName val="2027 部門績效與資源預估表"/>
      <sheetName val="(202510)2025-2030營收預估"/>
      <sheetName val="2026 部門績效與資源預估表"/>
      <sheetName val="(2025)2026~2030資產負債表"/>
      <sheetName val="(202510)2025-2030費用預估"/>
      <sheetName val="會計編號對照表"/>
      <sheetName val="2025參考費用(8)"/>
      <sheetName val="員工分紅與董監酬勞試算公式"/>
    </sheetNames>
    <sheetDataSet>
      <sheetData sheetId="0" refreshError="1"/>
      <sheetData sheetId="1" refreshError="1">
        <row r="3">
          <cell r="E3">
            <v>785000</v>
          </cell>
        </row>
        <row r="4">
          <cell r="E4">
            <v>225000</v>
          </cell>
        </row>
        <row r="5">
          <cell r="E5">
            <v>35000</v>
          </cell>
        </row>
        <row r="6">
          <cell r="E6">
            <v>75000</v>
          </cell>
        </row>
        <row r="7">
          <cell r="E7">
            <v>45000</v>
          </cell>
        </row>
        <row r="8">
          <cell r="E8">
            <v>35000</v>
          </cell>
        </row>
        <row r="9">
          <cell r="E9">
            <v>10000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FDA2-814D-43A1-B0A6-2987206DF636}">
  <sheetPr>
    <tabColor theme="7" tint="0.39997558519241921"/>
  </sheetPr>
  <dimension ref="B1:Q100"/>
  <sheetViews>
    <sheetView tabSelected="1" topLeftCell="A22" zoomScale="85" zoomScaleNormal="85" workbookViewId="0">
      <selection activeCell="J34" sqref="J34"/>
    </sheetView>
  </sheetViews>
  <sheetFormatPr defaultRowHeight="16.5" x14ac:dyDescent="0.25"/>
  <cols>
    <col min="1" max="1" width="2.5" customWidth="1"/>
    <col min="2" max="2" width="13.5" customWidth="1"/>
    <col min="3" max="3" width="33.625" customWidth="1"/>
    <col min="4" max="4" width="23.5" bestFit="1" customWidth="1"/>
    <col min="5" max="5" width="17.75" customWidth="1"/>
    <col min="6" max="6" width="18.875" customWidth="1"/>
    <col min="7" max="7" width="16.75" customWidth="1"/>
    <col min="8" max="8" width="18.625" customWidth="1"/>
    <col min="9" max="9" width="17.875" customWidth="1"/>
    <col min="10" max="10" width="11.5" customWidth="1"/>
    <col min="11" max="11" width="13.875" customWidth="1"/>
    <col min="12" max="13" width="11.5" customWidth="1"/>
    <col min="14" max="14" width="10.875" bestFit="1" customWidth="1"/>
  </cols>
  <sheetData>
    <row r="1" spans="2:13" x14ac:dyDescent="0.25">
      <c r="B1" s="90" t="s">
        <v>16</v>
      </c>
      <c r="C1" s="90"/>
      <c r="D1" s="90"/>
      <c r="E1" s="90">
        <v>2027</v>
      </c>
      <c r="F1" s="90"/>
      <c r="G1" s="90"/>
      <c r="H1" s="90">
        <v>2026</v>
      </c>
      <c r="I1" s="90"/>
      <c r="J1" s="90"/>
      <c r="K1" s="90">
        <v>2025</v>
      </c>
      <c r="L1" s="90"/>
      <c r="M1" s="90"/>
    </row>
    <row r="2" spans="2:13" x14ac:dyDescent="0.25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3</v>
      </c>
      <c r="I2" s="13" t="s">
        <v>4</v>
      </c>
      <c r="J2" s="13" t="s">
        <v>5</v>
      </c>
      <c r="K2" s="13" t="s">
        <v>3</v>
      </c>
      <c r="L2" s="13" t="s">
        <v>4</v>
      </c>
      <c r="M2" s="13" t="s">
        <v>5</v>
      </c>
    </row>
    <row r="3" spans="2:13" x14ac:dyDescent="0.25">
      <c r="B3" s="91" t="s">
        <v>18</v>
      </c>
      <c r="C3" s="1" t="s">
        <v>6</v>
      </c>
      <c r="D3" s="1" t="s">
        <v>7</v>
      </c>
      <c r="E3" s="2">
        <f>'[1]2027 部門績效與資源預估表'!$E$3</f>
        <v>785000</v>
      </c>
      <c r="F3" s="3">
        <v>0.21</v>
      </c>
      <c r="G3" s="2">
        <f>E3*F3</f>
        <v>164850</v>
      </c>
      <c r="H3" s="2">
        <v>660000</v>
      </c>
      <c r="I3" s="3">
        <v>0.2</v>
      </c>
      <c r="J3" s="2">
        <f t="shared" ref="J3:J9" si="0">H3*I3</f>
        <v>132000</v>
      </c>
      <c r="K3" s="2">
        <v>550000</v>
      </c>
      <c r="L3" s="3">
        <v>0.185</v>
      </c>
      <c r="M3" s="2">
        <f t="shared" ref="M3:M9" si="1">K3*L3</f>
        <v>101750</v>
      </c>
    </row>
    <row r="4" spans="2:13" x14ac:dyDescent="0.25">
      <c r="B4" s="92"/>
      <c r="C4" s="1" t="s">
        <v>6</v>
      </c>
      <c r="D4" s="1" t="s">
        <v>8</v>
      </c>
      <c r="E4" s="2">
        <f>'[1]2027 部門績效與資源預估表'!$E$4</f>
        <v>225000</v>
      </c>
      <c r="F4" s="3">
        <v>0.12</v>
      </c>
      <c r="G4" s="2">
        <f t="shared" ref="G4:G9" si="2">E4*F4</f>
        <v>27000</v>
      </c>
      <c r="H4" s="2">
        <v>140000</v>
      </c>
      <c r="I4" s="3">
        <v>0.1</v>
      </c>
      <c r="J4" s="2">
        <f t="shared" si="0"/>
        <v>14000</v>
      </c>
      <c r="K4" s="2">
        <v>100000</v>
      </c>
      <c r="L4" s="3">
        <v>7.4999999999999997E-2</v>
      </c>
      <c r="M4" s="2">
        <f t="shared" si="1"/>
        <v>7500</v>
      </c>
    </row>
    <row r="5" spans="2:13" x14ac:dyDescent="0.25">
      <c r="B5" s="93"/>
      <c r="C5" s="1" t="s">
        <v>6</v>
      </c>
      <c r="D5" s="1" t="s">
        <v>9</v>
      </c>
      <c r="E5" s="2">
        <f>'[1]2027 部門績效與資源預估表'!$E$5</f>
        <v>35000</v>
      </c>
      <c r="F5" s="3">
        <v>0.05</v>
      </c>
      <c r="G5" s="2">
        <f t="shared" si="2"/>
        <v>1750</v>
      </c>
      <c r="H5" s="2">
        <v>20000</v>
      </c>
      <c r="I5" s="3">
        <v>0.05</v>
      </c>
      <c r="J5" s="2">
        <f t="shared" si="0"/>
        <v>1000</v>
      </c>
      <c r="K5" s="2">
        <v>30000</v>
      </c>
      <c r="L5" s="3">
        <v>7.4999999999999997E-2</v>
      </c>
      <c r="M5" s="2">
        <f t="shared" si="1"/>
        <v>2250</v>
      </c>
    </row>
    <row r="6" spans="2:13" x14ac:dyDescent="0.25">
      <c r="B6" s="13" t="s">
        <v>19</v>
      </c>
      <c r="C6" s="1" t="s">
        <v>10</v>
      </c>
      <c r="D6" s="1" t="s">
        <v>7</v>
      </c>
      <c r="E6" s="2">
        <f>'[1]2027 部門績效與資源預估表'!$E$6</f>
        <v>75000</v>
      </c>
      <c r="F6" s="3">
        <v>0.9</v>
      </c>
      <c r="G6" s="2">
        <f t="shared" si="2"/>
        <v>67500</v>
      </c>
      <c r="H6" s="2">
        <v>70000</v>
      </c>
      <c r="I6" s="3">
        <v>0.9</v>
      </c>
      <c r="J6" s="2">
        <f t="shared" si="0"/>
        <v>63000</v>
      </c>
      <c r="K6" s="2">
        <v>55000</v>
      </c>
      <c r="L6" s="3">
        <v>0.9</v>
      </c>
      <c r="M6" s="2">
        <f t="shared" si="1"/>
        <v>49500</v>
      </c>
    </row>
    <row r="7" spans="2:13" x14ac:dyDescent="0.25">
      <c r="B7" s="87" t="s">
        <v>12</v>
      </c>
      <c r="C7" s="1" t="s">
        <v>11</v>
      </c>
      <c r="D7" s="1" t="s">
        <v>7</v>
      </c>
      <c r="E7" s="2">
        <f>'[1]2027 部門績效與資源預估表'!$E$7</f>
        <v>45000</v>
      </c>
      <c r="F7" s="3">
        <v>0.42499999999999999</v>
      </c>
      <c r="G7" s="2">
        <f t="shared" si="2"/>
        <v>19125</v>
      </c>
      <c r="H7" s="2">
        <v>40000</v>
      </c>
      <c r="I7" s="3">
        <v>0.4</v>
      </c>
      <c r="J7" s="2">
        <f t="shared" si="0"/>
        <v>16000</v>
      </c>
      <c r="K7" s="2">
        <v>25000</v>
      </c>
      <c r="L7" s="3">
        <v>0.4</v>
      </c>
      <c r="M7" s="2">
        <f t="shared" si="1"/>
        <v>10000</v>
      </c>
    </row>
    <row r="8" spans="2:13" x14ac:dyDescent="0.25">
      <c r="B8" s="88"/>
      <c r="C8" s="1" t="s">
        <v>13</v>
      </c>
      <c r="D8" s="1" t="s">
        <v>7</v>
      </c>
      <c r="E8" s="2">
        <f>'[1]2027 部門績效與資源預估表'!$E$8</f>
        <v>35000</v>
      </c>
      <c r="F8" s="3">
        <v>0.4</v>
      </c>
      <c r="G8" s="2">
        <f t="shared" si="2"/>
        <v>14000</v>
      </c>
      <c r="H8" s="2">
        <v>20000</v>
      </c>
      <c r="I8" s="3">
        <v>0.35</v>
      </c>
      <c r="J8" s="2">
        <f t="shared" si="0"/>
        <v>7000</v>
      </c>
      <c r="K8" s="2">
        <v>40000</v>
      </c>
      <c r="L8" s="3">
        <v>0.4</v>
      </c>
      <c r="M8" s="2">
        <f t="shared" si="1"/>
        <v>16000</v>
      </c>
    </row>
    <row r="9" spans="2:13" x14ac:dyDescent="0.25">
      <c r="B9" s="89"/>
      <c r="C9" s="1" t="s">
        <v>14</v>
      </c>
      <c r="D9" s="1" t="s">
        <v>7</v>
      </c>
      <c r="E9" s="2">
        <f>'[1]2027 部門績效與資源預估表'!$E$9</f>
        <v>10000</v>
      </c>
      <c r="F9" s="3">
        <v>0.9</v>
      </c>
      <c r="G9" s="2">
        <f t="shared" si="2"/>
        <v>9000</v>
      </c>
      <c r="H9" s="2">
        <v>15000</v>
      </c>
      <c r="I9" s="3">
        <v>0.9</v>
      </c>
      <c r="J9" s="2">
        <f t="shared" si="0"/>
        <v>13500</v>
      </c>
      <c r="K9" s="2">
        <v>10000</v>
      </c>
      <c r="L9" s="3">
        <v>0.9</v>
      </c>
      <c r="M9" s="2">
        <f t="shared" si="1"/>
        <v>9000</v>
      </c>
    </row>
    <row r="10" spans="2:13" x14ac:dyDescent="0.25">
      <c r="B10" s="1" t="s">
        <v>15</v>
      </c>
      <c r="C10" s="1"/>
      <c r="D10" s="1"/>
      <c r="E10" s="2">
        <f>SUM(E3:E9)</f>
        <v>1210000</v>
      </c>
      <c r="F10" s="3">
        <f>G10/E10</f>
        <v>0.25059917355371902</v>
      </c>
      <c r="G10" s="2">
        <f>SUM(G3:G9)</f>
        <v>303225</v>
      </c>
      <c r="H10" s="2">
        <f>SUM(H3:H9)</f>
        <v>965000</v>
      </c>
      <c r="I10" s="3">
        <f>J10/H10</f>
        <v>0.255440414507772</v>
      </c>
      <c r="J10" s="2">
        <f>SUM(J3:J9)</f>
        <v>246500</v>
      </c>
      <c r="K10" s="2">
        <f>SUM(K3:K9)</f>
        <v>810000</v>
      </c>
      <c r="L10" s="3">
        <f>M10/K10</f>
        <v>0.24197530864197531</v>
      </c>
      <c r="M10" s="2">
        <f>SUM(M3:M9)</f>
        <v>196000</v>
      </c>
    </row>
    <row r="11" spans="2:13" x14ac:dyDescent="0.25">
      <c r="B11" s="5"/>
      <c r="C11" s="5"/>
      <c r="D11" s="3" t="s">
        <v>38</v>
      </c>
      <c r="E11" s="3">
        <f>E10/H10-1</f>
        <v>0.25388601036269431</v>
      </c>
      <c r="F11" s="3">
        <f>F10/I10-1</f>
        <v>-1.8952525438787449E-2</v>
      </c>
      <c r="G11" s="3">
        <f>G10/J10-1</f>
        <v>0.23012170385395536</v>
      </c>
      <c r="H11" s="6"/>
      <c r="I11" s="7"/>
      <c r="J11" s="6"/>
    </row>
    <row r="13" spans="2:13" x14ac:dyDescent="0.25">
      <c r="B13" s="1" t="s">
        <v>17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</row>
    <row r="14" spans="2:13" x14ac:dyDescent="0.25">
      <c r="B14" s="1"/>
      <c r="C14" s="98">
        <v>2027</v>
      </c>
      <c r="D14" s="99"/>
      <c r="E14" s="99"/>
      <c r="F14" s="99"/>
      <c r="G14" s="100"/>
      <c r="H14" s="101">
        <v>2026</v>
      </c>
      <c r="I14" s="102"/>
      <c r="J14" s="102"/>
      <c r="K14" s="102"/>
      <c r="L14" s="103"/>
    </row>
    <row r="15" spans="2:13" x14ac:dyDescent="0.25">
      <c r="B15" s="1" t="s">
        <v>20</v>
      </c>
      <c r="C15" s="13" t="s">
        <v>1</v>
      </c>
      <c r="D15" s="13" t="s">
        <v>2</v>
      </c>
      <c r="E15" s="13" t="s">
        <v>3</v>
      </c>
      <c r="F15" s="13" t="s">
        <v>4</v>
      </c>
      <c r="G15" s="13" t="s">
        <v>5</v>
      </c>
      <c r="H15" s="13" t="s">
        <v>1</v>
      </c>
      <c r="I15" s="13" t="s">
        <v>2</v>
      </c>
      <c r="J15" s="13" t="s">
        <v>3</v>
      </c>
      <c r="K15" s="13" t="s">
        <v>4</v>
      </c>
      <c r="L15" s="13" t="s">
        <v>5</v>
      </c>
    </row>
    <row r="16" spans="2:13" x14ac:dyDescent="0.25">
      <c r="B16" s="94" t="s">
        <v>18</v>
      </c>
      <c r="C16" s="9" t="s">
        <v>6</v>
      </c>
      <c r="D16" s="10" t="s">
        <v>7</v>
      </c>
      <c r="E16" s="11">
        <f>'[1]2027 部門績效與資源預估表'!$E$3</f>
        <v>785000</v>
      </c>
      <c r="F16" s="12">
        <v>0.21</v>
      </c>
      <c r="G16" s="11">
        <f>E16*F16</f>
        <v>164850</v>
      </c>
      <c r="H16" s="1" t="s">
        <v>6</v>
      </c>
      <c r="I16" s="10" t="s">
        <v>7</v>
      </c>
      <c r="J16" s="11">
        <v>660000</v>
      </c>
      <c r="K16" s="12">
        <v>0.2</v>
      </c>
      <c r="L16" s="11">
        <f>J16*K16</f>
        <v>132000</v>
      </c>
    </row>
    <row r="17" spans="2:12" x14ac:dyDescent="0.25">
      <c r="B17" s="94"/>
      <c r="C17" s="9" t="s">
        <v>6</v>
      </c>
      <c r="D17" s="10" t="s">
        <v>8</v>
      </c>
      <c r="E17" s="11">
        <f>'[1]2027 部門績效與資源預估表'!$E$4</f>
        <v>225000</v>
      </c>
      <c r="F17" s="12">
        <v>0.12</v>
      </c>
      <c r="G17" s="11">
        <f t="shared" ref="G17:G22" si="3">E17*F17</f>
        <v>27000</v>
      </c>
      <c r="H17" s="1" t="s">
        <v>6</v>
      </c>
      <c r="I17" s="10" t="s">
        <v>8</v>
      </c>
      <c r="J17" s="11">
        <v>140000</v>
      </c>
      <c r="K17" s="12">
        <v>0.1</v>
      </c>
      <c r="L17" s="11">
        <f t="shared" ref="L17:L22" si="4">J17*K17</f>
        <v>14000</v>
      </c>
    </row>
    <row r="18" spans="2:12" x14ac:dyDescent="0.25">
      <c r="B18" s="94"/>
      <c r="C18" s="9" t="s">
        <v>6</v>
      </c>
      <c r="D18" s="10" t="s">
        <v>9</v>
      </c>
      <c r="E18" s="11">
        <f>'[1]2027 部門績效與資源預估表'!$E$5</f>
        <v>35000</v>
      </c>
      <c r="F18" s="12">
        <v>0.05</v>
      </c>
      <c r="G18" s="11">
        <f t="shared" si="3"/>
        <v>1750</v>
      </c>
      <c r="H18" s="1" t="s">
        <v>6</v>
      </c>
      <c r="I18" s="10" t="s">
        <v>9</v>
      </c>
      <c r="J18" s="11">
        <v>20000</v>
      </c>
      <c r="K18" s="12">
        <v>0.05</v>
      </c>
      <c r="L18" s="11">
        <f t="shared" si="4"/>
        <v>1000</v>
      </c>
    </row>
    <row r="19" spans="2:12" x14ac:dyDescent="0.25">
      <c r="B19" s="13" t="s">
        <v>19</v>
      </c>
      <c r="C19" s="9" t="s">
        <v>10</v>
      </c>
      <c r="D19" s="10" t="s">
        <v>7</v>
      </c>
      <c r="E19" s="11">
        <f>'[1]2027 部門績效與資源預估表'!$E$6</f>
        <v>75000</v>
      </c>
      <c r="F19" s="12">
        <v>0.9</v>
      </c>
      <c r="G19" s="11">
        <f t="shared" si="3"/>
        <v>67500</v>
      </c>
      <c r="H19" s="1" t="s">
        <v>10</v>
      </c>
      <c r="I19" s="10" t="s">
        <v>7</v>
      </c>
      <c r="J19" s="11">
        <v>70000</v>
      </c>
      <c r="K19" s="12">
        <v>0.9</v>
      </c>
      <c r="L19" s="11">
        <f t="shared" si="4"/>
        <v>63000</v>
      </c>
    </row>
    <row r="20" spans="2:12" x14ac:dyDescent="0.25">
      <c r="B20" s="90" t="s">
        <v>12</v>
      </c>
      <c r="C20" s="9" t="s">
        <v>11</v>
      </c>
      <c r="D20" s="10" t="s">
        <v>7</v>
      </c>
      <c r="E20" s="11">
        <f>'[1]2027 部門績效與資源預估表'!$E$7</f>
        <v>45000</v>
      </c>
      <c r="F20" s="12">
        <v>0.42499999999999999</v>
      </c>
      <c r="G20" s="11">
        <f t="shared" si="3"/>
        <v>19125</v>
      </c>
      <c r="H20" s="1" t="s">
        <v>11</v>
      </c>
      <c r="I20" s="10" t="s">
        <v>7</v>
      </c>
      <c r="J20" s="11">
        <v>40000</v>
      </c>
      <c r="K20" s="12">
        <v>0.4</v>
      </c>
      <c r="L20" s="11">
        <f t="shared" si="4"/>
        <v>16000</v>
      </c>
    </row>
    <row r="21" spans="2:12" x14ac:dyDescent="0.25">
      <c r="B21" s="90"/>
      <c r="C21" s="9" t="s">
        <v>13</v>
      </c>
      <c r="D21" s="10" t="s">
        <v>7</v>
      </c>
      <c r="E21" s="11">
        <f>'[1]2027 部門績效與資源預估表'!$E$8</f>
        <v>35000</v>
      </c>
      <c r="F21" s="12">
        <v>0.4</v>
      </c>
      <c r="G21" s="11">
        <f t="shared" si="3"/>
        <v>14000</v>
      </c>
      <c r="H21" s="1" t="s">
        <v>13</v>
      </c>
      <c r="I21" s="10" t="s">
        <v>7</v>
      </c>
      <c r="J21" s="11">
        <v>20000</v>
      </c>
      <c r="K21" s="12">
        <v>0.35</v>
      </c>
      <c r="L21" s="11">
        <f t="shared" si="4"/>
        <v>7000</v>
      </c>
    </row>
    <row r="22" spans="2:12" x14ac:dyDescent="0.25">
      <c r="B22" s="90"/>
      <c r="C22" s="9" t="s">
        <v>14</v>
      </c>
      <c r="D22" s="10" t="s">
        <v>7</v>
      </c>
      <c r="E22" s="11">
        <f>'[1]2027 部門績效與資源預估表'!$E$9</f>
        <v>10000</v>
      </c>
      <c r="F22" s="12">
        <v>0.9</v>
      </c>
      <c r="G22" s="11">
        <f t="shared" si="3"/>
        <v>9000</v>
      </c>
      <c r="H22" s="1" t="s">
        <v>14</v>
      </c>
      <c r="I22" s="10" t="s">
        <v>7</v>
      </c>
      <c r="J22" s="11">
        <v>15000</v>
      </c>
      <c r="K22" s="12">
        <v>0.9</v>
      </c>
      <c r="L22" s="11">
        <f t="shared" si="4"/>
        <v>13500</v>
      </c>
    </row>
    <row r="23" spans="2:12" x14ac:dyDescent="0.25">
      <c r="B23" s="13" t="s">
        <v>33</v>
      </c>
      <c r="C23" s="9"/>
      <c r="D23" s="10"/>
      <c r="E23" s="11">
        <f>SUM(E16:E22)</f>
        <v>1210000</v>
      </c>
      <c r="F23" s="12">
        <f>G23/E23</f>
        <v>0.25059917355371902</v>
      </c>
      <c r="G23" s="11">
        <f>SUM(G16:G22)</f>
        <v>303225</v>
      </c>
      <c r="H23" s="1"/>
      <c r="I23" s="10"/>
      <c r="J23" s="11">
        <f>SUM(J16:J22)</f>
        <v>965000</v>
      </c>
      <c r="K23" s="12">
        <f>L23/J23</f>
        <v>0.255440414507772</v>
      </c>
      <c r="L23" s="11">
        <f>SUM(L16:L22)</f>
        <v>246500</v>
      </c>
    </row>
    <row r="25" spans="2:12" x14ac:dyDescent="0.25">
      <c r="B25" s="1" t="s">
        <v>24</v>
      </c>
      <c r="C25" s="2" t="s">
        <v>44</v>
      </c>
      <c r="D25" s="2" t="s">
        <v>45</v>
      </c>
      <c r="E25" s="2" t="s">
        <v>23</v>
      </c>
      <c r="F25" s="2"/>
      <c r="G25" s="2" t="s">
        <v>36</v>
      </c>
      <c r="H25" s="2" t="s">
        <v>37</v>
      </c>
    </row>
    <row r="26" spans="2:12" x14ac:dyDescent="0.25">
      <c r="B26" s="9" t="s">
        <v>35</v>
      </c>
      <c r="C26" s="11">
        <v>1</v>
      </c>
      <c r="D26" s="11">
        <v>1</v>
      </c>
      <c r="E26" s="11"/>
      <c r="F26" s="8">
        <v>2027</v>
      </c>
      <c r="G26" s="11">
        <f>E23/C34</f>
        <v>93076.923076923078</v>
      </c>
      <c r="H26" s="11">
        <f>G23/C34</f>
        <v>23325</v>
      </c>
    </row>
    <row r="27" spans="2:12" x14ac:dyDescent="0.25">
      <c r="B27" s="9" t="s">
        <v>41</v>
      </c>
      <c r="C27" s="11">
        <v>6</v>
      </c>
      <c r="D27" s="11">
        <v>4</v>
      </c>
      <c r="E27" s="11">
        <v>2</v>
      </c>
      <c r="F27" s="8">
        <v>2026</v>
      </c>
      <c r="G27" s="11">
        <f>J23/D34</f>
        <v>96500</v>
      </c>
      <c r="H27" s="11">
        <f>L23/D34</f>
        <v>24650</v>
      </c>
    </row>
    <row r="28" spans="2:12" x14ac:dyDescent="0.25">
      <c r="B28" s="9" t="s">
        <v>42</v>
      </c>
      <c r="C28" s="11">
        <v>6</v>
      </c>
      <c r="D28" s="11">
        <v>5</v>
      </c>
      <c r="E28" s="11">
        <v>1</v>
      </c>
      <c r="F28" s="8" t="s">
        <v>38</v>
      </c>
      <c r="G28" s="12">
        <f>G26/G27-1</f>
        <v>-3.5472299721004408E-2</v>
      </c>
      <c r="H28" s="12">
        <f>H26/H27-1</f>
        <v>-5.3752535496957354E-2</v>
      </c>
    </row>
    <row r="29" spans="2:12" x14ac:dyDescent="0.25">
      <c r="B29" s="9"/>
      <c r="C29" s="11"/>
      <c r="D29" s="11"/>
      <c r="E29" s="11"/>
    </row>
    <row r="30" spans="2:12" x14ac:dyDescent="0.25">
      <c r="B30" s="9"/>
      <c r="C30" s="11"/>
      <c r="D30" s="11"/>
      <c r="E30" s="11"/>
    </row>
    <row r="31" spans="2:12" x14ac:dyDescent="0.25">
      <c r="B31" s="9"/>
      <c r="C31" s="11"/>
      <c r="D31" s="11"/>
      <c r="E31" s="11"/>
    </row>
    <row r="32" spans="2:12" x14ac:dyDescent="0.25">
      <c r="B32" s="9"/>
      <c r="C32" s="11"/>
      <c r="D32" s="11"/>
      <c r="E32" s="11"/>
    </row>
    <row r="33" spans="2:15" x14ac:dyDescent="0.25">
      <c r="B33" s="9"/>
      <c r="C33" s="11"/>
      <c r="D33" s="11"/>
      <c r="E33" s="11"/>
    </row>
    <row r="34" spans="2:15" x14ac:dyDescent="0.25">
      <c r="B34" s="1" t="s">
        <v>34</v>
      </c>
      <c r="C34" s="2">
        <f>SUM(C26:C33)</f>
        <v>13</v>
      </c>
      <c r="D34" s="2">
        <f>SUM(D26:D33)</f>
        <v>10</v>
      </c>
      <c r="E34" s="2">
        <f>SUM(E26:E33)</f>
        <v>3</v>
      </c>
      <c r="F34" s="95" t="s">
        <v>43</v>
      </c>
      <c r="G34" s="96"/>
    </row>
    <row r="37" spans="2:15" ht="27" x14ac:dyDescent="0.25">
      <c r="B37" s="82" t="s">
        <v>88</v>
      </c>
      <c r="C37" s="14" t="s">
        <v>82</v>
      </c>
      <c r="D37" s="14" t="s">
        <v>79</v>
      </c>
      <c r="E37" s="15" t="s">
        <v>80</v>
      </c>
      <c r="F37" s="38" t="s">
        <v>83</v>
      </c>
      <c r="G37" s="75"/>
      <c r="H37" s="59"/>
      <c r="I37" s="60"/>
      <c r="J37" s="60"/>
      <c r="K37" s="60"/>
      <c r="L37" s="60"/>
      <c r="M37" s="60"/>
      <c r="N37" s="60"/>
      <c r="O37" s="60"/>
    </row>
    <row r="38" spans="2:15" x14ac:dyDescent="0.25">
      <c r="B38" s="97" t="s">
        <v>52</v>
      </c>
      <c r="C38" s="37" t="s">
        <v>53</v>
      </c>
      <c r="D38" s="43">
        <v>150.33000000000001</v>
      </c>
      <c r="E38" s="35">
        <f>D38*12</f>
        <v>1803.96</v>
      </c>
      <c r="F38" s="34">
        <f>E38*H76</f>
        <v>2296.0603323534947</v>
      </c>
      <c r="G38" s="24"/>
      <c r="H38" s="24"/>
      <c r="I38" s="104"/>
      <c r="J38" s="61"/>
      <c r="K38" s="61"/>
      <c r="L38" s="62"/>
      <c r="M38" s="62"/>
      <c r="N38" s="60"/>
      <c r="O38" s="60"/>
    </row>
    <row r="39" spans="2:15" ht="33" x14ac:dyDescent="0.25">
      <c r="B39" s="97"/>
      <c r="C39" s="37" t="s">
        <v>71</v>
      </c>
      <c r="D39" s="43">
        <v>4.5</v>
      </c>
      <c r="E39" s="35">
        <f t="shared" ref="E39:E40" si="5">D39*12</f>
        <v>54</v>
      </c>
      <c r="F39" s="34">
        <f>E39*H76</f>
        <v>68.730602644786316</v>
      </c>
      <c r="G39" s="24"/>
      <c r="H39" s="24"/>
      <c r="I39" s="104"/>
      <c r="J39" s="61"/>
      <c r="K39" s="61"/>
      <c r="L39" s="62"/>
      <c r="M39" s="62"/>
      <c r="N39" s="60"/>
      <c r="O39" s="60"/>
    </row>
    <row r="40" spans="2:15" x14ac:dyDescent="0.25">
      <c r="B40" s="97"/>
      <c r="C40" s="37" t="s">
        <v>70</v>
      </c>
      <c r="D40" s="43">
        <v>4.5</v>
      </c>
      <c r="E40" s="35">
        <f t="shared" si="5"/>
        <v>54</v>
      </c>
      <c r="F40" s="34">
        <f>E40*H76</f>
        <v>68.730602644786316</v>
      </c>
      <c r="G40" s="24"/>
      <c r="H40" s="24"/>
      <c r="I40" s="104"/>
      <c r="J40" s="61"/>
      <c r="K40" s="61"/>
      <c r="L40" s="62"/>
      <c r="M40" s="62"/>
      <c r="N40" s="60"/>
      <c r="O40" s="60"/>
    </row>
    <row r="41" spans="2:15" x14ac:dyDescent="0.25">
      <c r="B41" s="97"/>
      <c r="C41" s="67" t="s">
        <v>56</v>
      </c>
      <c r="D41" s="40">
        <v>154.66999999999999</v>
      </c>
      <c r="E41" s="40">
        <f>D41*5</f>
        <v>773.34999999999991</v>
      </c>
      <c r="F41" s="68">
        <f>8*2*12*2</f>
        <v>384</v>
      </c>
      <c r="G41" s="24"/>
      <c r="H41" s="24"/>
      <c r="I41" s="104"/>
      <c r="J41" s="61"/>
      <c r="K41" s="61"/>
      <c r="L41" s="62"/>
      <c r="M41" s="62"/>
      <c r="N41" s="60"/>
      <c r="O41" s="60"/>
    </row>
    <row r="42" spans="2:15" x14ac:dyDescent="0.25">
      <c r="B42" s="97"/>
      <c r="C42" s="41" t="s">
        <v>15</v>
      </c>
      <c r="D42" s="44">
        <f>SUM(D38:D40)</f>
        <v>159.33000000000001</v>
      </c>
      <c r="E42" s="29">
        <f>D42*12</f>
        <v>1911.96</v>
      </c>
      <c r="F42" s="29">
        <f>E42*H76</f>
        <v>2433.5215376430674</v>
      </c>
      <c r="G42" s="24"/>
      <c r="H42" s="24"/>
      <c r="I42" s="104"/>
      <c r="J42" s="61"/>
      <c r="K42" s="61"/>
      <c r="L42" s="62"/>
      <c r="M42" s="62"/>
      <c r="N42" s="60"/>
      <c r="O42" s="60"/>
    </row>
    <row r="43" spans="2:15" x14ac:dyDescent="0.25">
      <c r="B43" s="84" t="s">
        <v>55</v>
      </c>
      <c r="C43" s="37" t="s">
        <v>54</v>
      </c>
      <c r="D43" s="43">
        <v>91.67</v>
      </c>
      <c r="E43" s="43">
        <f>D43*12</f>
        <v>1100.04</v>
      </c>
      <c r="F43" s="34">
        <f>E43*H76</f>
        <v>1400.1187432105692</v>
      </c>
      <c r="G43" s="24"/>
      <c r="H43" s="24"/>
      <c r="I43" s="104"/>
      <c r="J43" s="61"/>
      <c r="K43" s="61"/>
      <c r="L43" s="27"/>
      <c r="M43" s="27"/>
      <c r="N43" s="60"/>
      <c r="O43" s="60"/>
    </row>
    <row r="44" spans="2:15" x14ac:dyDescent="0.25">
      <c r="B44" s="84"/>
      <c r="C44" s="37" t="s">
        <v>57</v>
      </c>
      <c r="D44" s="43">
        <v>85.83</v>
      </c>
      <c r="E44" s="43">
        <f t="shared" ref="E44:E61" si="6">D44*12</f>
        <v>1029.96</v>
      </c>
      <c r="F44" s="34">
        <f>E44*H76</f>
        <v>1310.921694444891</v>
      </c>
      <c r="G44" s="24"/>
      <c r="H44" s="24"/>
      <c r="I44" s="104"/>
      <c r="J44" s="61"/>
      <c r="K44" s="27"/>
      <c r="L44" s="62"/>
      <c r="M44" s="62"/>
      <c r="N44" s="60"/>
      <c r="O44" s="60"/>
    </row>
    <row r="45" spans="2:15" ht="33" x14ac:dyDescent="0.25">
      <c r="B45" s="84"/>
      <c r="C45" s="37" t="s">
        <v>58</v>
      </c>
      <c r="D45" s="43">
        <v>39.17</v>
      </c>
      <c r="E45" s="43">
        <f t="shared" si="6"/>
        <v>470.04</v>
      </c>
      <c r="F45" s="34">
        <f>E45*H76</f>
        <v>598.26171235472884</v>
      </c>
      <c r="G45" s="25"/>
      <c r="H45" s="25"/>
      <c r="I45" s="104"/>
      <c r="J45" s="61"/>
      <c r="K45" s="63"/>
      <c r="L45" s="62"/>
      <c r="M45" s="62"/>
      <c r="N45" s="60"/>
      <c r="O45" s="60"/>
    </row>
    <row r="46" spans="2:15" x14ac:dyDescent="0.25">
      <c r="B46" s="84"/>
      <c r="C46" s="80" t="s">
        <v>59</v>
      </c>
      <c r="D46" s="43">
        <v>24.33</v>
      </c>
      <c r="E46" s="43">
        <f>D46*4</f>
        <v>97.32</v>
      </c>
      <c r="F46" s="34">
        <f>E46*H76</f>
        <v>123.86781943315933</v>
      </c>
      <c r="G46" s="78"/>
      <c r="H46" s="25"/>
      <c r="I46" s="104"/>
      <c r="J46" s="61"/>
      <c r="K46" s="63"/>
      <c r="L46" s="62"/>
      <c r="M46" s="62"/>
      <c r="N46" s="60"/>
      <c r="O46" s="60"/>
    </row>
    <row r="47" spans="2:15" x14ac:dyDescent="0.25">
      <c r="B47" s="84"/>
      <c r="C47" s="80" t="s">
        <v>60</v>
      </c>
      <c r="D47" s="43">
        <v>22.33</v>
      </c>
      <c r="E47" s="43">
        <f t="shared" si="6"/>
        <v>267.95999999999998</v>
      </c>
      <c r="F47" s="34">
        <f>E47*H76</f>
        <v>341.05652379068408</v>
      </c>
      <c r="G47" s="79"/>
      <c r="H47" s="24"/>
      <c r="I47" s="63"/>
      <c r="J47" s="63"/>
      <c r="K47" s="63"/>
      <c r="L47" s="62"/>
      <c r="M47" s="62"/>
      <c r="N47" s="60"/>
      <c r="O47" s="60"/>
    </row>
    <row r="48" spans="2:15" x14ac:dyDescent="0.25">
      <c r="B48" s="84"/>
      <c r="C48" s="80" t="s">
        <v>61</v>
      </c>
      <c r="D48" s="43">
        <v>27.5</v>
      </c>
      <c r="E48" s="43">
        <f t="shared" si="6"/>
        <v>330</v>
      </c>
      <c r="F48" s="34">
        <f>E48*H76</f>
        <v>420.02034949591638</v>
      </c>
      <c r="G48" s="79"/>
      <c r="H48" s="24"/>
      <c r="I48" s="63"/>
      <c r="J48" s="63"/>
      <c r="K48" s="63"/>
      <c r="L48" s="64"/>
      <c r="M48" s="64"/>
      <c r="N48" s="86"/>
      <c r="O48" s="86"/>
    </row>
    <row r="49" spans="2:17" x14ac:dyDescent="0.25">
      <c r="B49" s="84"/>
      <c r="C49" s="81" t="s">
        <v>62</v>
      </c>
      <c r="D49" s="43">
        <v>24.67</v>
      </c>
      <c r="E49" s="43">
        <f t="shared" si="6"/>
        <v>296.04000000000002</v>
      </c>
      <c r="F49" s="34">
        <f>E49*H76</f>
        <v>376.79643716597297</v>
      </c>
      <c r="G49" s="79"/>
      <c r="H49" s="24"/>
      <c r="I49" s="60"/>
      <c r="J49" s="27"/>
      <c r="K49" s="60"/>
      <c r="L49" s="60"/>
      <c r="M49" s="60"/>
      <c r="N49" s="60"/>
      <c r="O49" s="60"/>
    </row>
    <row r="50" spans="2:17" x14ac:dyDescent="0.25">
      <c r="B50" s="84"/>
      <c r="C50" s="80" t="s">
        <v>63</v>
      </c>
      <c r="D50" s="43">
        <v>19.670000000000002</v>
      </c>
      <c r="E50" s="43">
        <f t="shared" si="6"/>
        <v>236.04000000000002</v>
      </c>
      <c r="F50" s="34">
        <f>E50*H76</f>
        <v>300.42910089398822</v>
      </c>
      <c r="G50" s="26"/>
      <c r="H50" s="26"/>
      <c r="I50" s="60"/>
      <c r="J50" s="65"/>
      <c r="K50" s="66"/>
      <c r="L50" s="65"/>
      <c r="M50" s="65"/>
      <c r="N50" s="60"/>
      <c r="O50" s="60"/>
    </row>
    <row r="51" spans="2:17" x14ac:dyDescent="0.25">
      <c r="B51" s="84"/>
      <c r="C51" s="37" t="s">
        <v>64</v>
      </c>
      <c r="D51" s="43">
        <v>16.170000000000002</v>
      </c>
      <c r="E51" s="43">
        <f t="shared" si="6"/>
        <v>194.04000000000002</v>
      </c>
      <c r="F51" s="34">
        <f>E51*H76</f>
        <v>246.97196550359885</v>
      </c>
      <c r="G51" s="25"/>
      <c r="H51" s="25"/>
      <c r="I51" s="60"/>
      <c r="J51" s="65"/>
      <c r="K51" s="65"/>
      <c r="L51" s="65"/>
      <c r="M51" s="65"/>
      <c r="N51" s="60"/>
      <c r="O51" s="60"/>
    </row>
    <row r="52" spans="2:17" x14ac:dyDescent="0.25">
      <c r="B52" s="84"/>
      <c r="C52" s="37" t="s">
        <v>65</v>
      </c>
      <c r="D52" s="43">
        <v>15.67</v>
      </c>
      <c r="E52" s="43">
        <f t="shared" si="6"/>
        <v>188.04</v>
      </c>
      <c r="F52" s="34">
        <f>E52*H76</f>
        <v>239.33523187640034</v>
      </c>
      <c r="G52" s="27"/>
      <c r="H52" s="27"/>
      <c r="I52" s="60"/>
      <c r="J52" s="65"/>
      <c r="K52" s="65"/>
      <c r="L52" s="65"/>
      <c r="M52" s="65"/>
      <c r="N52" s="60"/>
      <c r="O52" s="60"/>
    </row>
    <row r="53" spans="2:17" x14ac:dyDescent="0.25">
      <c r="B53" s="84"/>
      <c r="C53" s="37" t="s">
        <v>66</v>
      </c>
      <c r="D53" s="45">
        <v>15</v>
      </c>
      <c r="E53" s="43">
        <f t="shared" si="6"/>
        <v>180</v>
      </c>
      <c r="F53" s="34">
        <f>E53*H76</f>
        <v>229.10200881595438</v>
      </c>
      <c r="G53" s="27"/>
      <c r="H53" s="27"/>
      <c r="I53" s="60"/>
      <c r="J53" s="65"/>
      <c r="K53" s="60"/>
      <c r="L53" s="60"/>
      <c r="M53" s="60"/>
      <c r="N53" s="60"/>
      <c r="O53" s="65"/>
      <c r="P53" s="31"/>
      <c r="Q53" s="31"/>
    </row>
    <row r="54" spans="2:17" x14ac:dyDescent="0.25">
      <c r="B54" s="84"/>
      <c r="C54" s="37" t="s">
        <v>67</v>
      </c>
      <c r="D54" s="43">
        <v>7</v>
      </c>
      <c r="E54" s="43">
        <f t="shared" si="6"/>
        <v>84</v>
      </c>
      <c r="F54" s="34">
        <f>E54*H76</f>
        <v>106.91427078077871</v>
      </c>
      <c r="G54" s="27"/>
      <c r="H54" s="27"/>
      <c r="I54" s="60"/>
      <c r="J54" s="65"/>
      <c r="K54" s="60"/>
      <c r="L54" s="60"/>
      <c r="M54" s="60"/>
      <c r="N54" s="60"/>
      <c r="O54" s="65"/>
      <c r="P54" s="31"/>
      <c r="Q54" s="31"/>
    </row>
    <row r="55" spans="2:17" x14ac:dyDescent="0.25">
      <c r="B55" s="84"/>
      <c r="C55" s="37" t="s">
        <v>68</v>
      </c>
      <c r="D55" s="43">
        <v>7.33</v>
      </c>
      <c r="E55" s="43">
        <f t="shared" si="6"/>
        <v>87.960000000000008</v>
      </c>
      <c r="F55" s="34">
        <f>E55*H76</f>
        <v>111.95451497472972</v>
      </c>
      <c r="G55" s="24"/>
      <c r="H55" s="24"/>
      <c r="I55" s="60"/>
      <c r="J55" s="65"/>
      <c r="K55" s="65"/>
      <c r="L55" s="65"/>
      <c r="M55" s="65"/>
      <c r="N55" s="60"/>
      <c r="O55" s="60"/>
      <c r="Q55" s="33"/>
    </row>
    <row r="56" spans="2:17" x14ac:dyDescent="0.25">
      <c r="B56" s="84"/>
      <c r="C56" s="37" t="s">
        <v>69</v>
      </c>
      <c r="D56" s="43">
        <v>7</v>
      </c>
      <c r="E56" s="45">
        <f>D56*12</f>
        <v>84</v>
      </c>
      <c r="F56" s="34">
        <f>E56*H76</f>
        <v>106.91427078077871</v>
      </c>
      <c r="G56" s="24"/>
      <c r="H56" s="24"/>
      <c r="I56" s="60"/>
      <c r="J56" s="65"/>
      <c r="K56" s="65"/>
      <c r="L56" s="65"/>
      <c r="M56" s="65"/>
      <c r="N56" s="60"/>
      <c r="O56" s="60"/>
      <c r="Q56" s="33"/>
    </row>
    <row r="57" spans="2:17" x14ac:dyDescent="0.25">
      <c r="B57" s="84"/>
      <c r="C57" s="37" t="s">
        <v>72</v>
      </c>
      <c r="D57" s="43">
        <v>2.5</v>
      </c>
      <c r="E57" s="43">
        <f t="shared" si="6"/>
        <v>30</v>
      </c>
      <c r="F57" s="34">
        <f>E57*H76</f>
        <v>38.183668135992399</v>
      </c>
      <c r="G57" s="24"/>
      <c r="H57" s="24"/>
      <c r="I57" s="60"/>
      <c r="J57" s="65"/>
      <c r="K57" s="65"/>
      <c r="L57" s="65"/>
      <c r="M57" s="65"/>
      <c r="N57" s="60"/>
      <c r="O57" s="60"/>
      <c r="Q57" s="33"/>
    </row>
    <row r="58" spans="2:17" x14ac:dyDescent="0.25">
      <c r="B58" s="84"/>
      <c r="C58" s="37" t="s">
        <v>73</v>
      </c>
      <c r="D58" s="43">
        <v>4.17</v>
      </c>
      <c r="E58" s="43">
        <f t="shared" si="6"/>
        <v>50.04</v>
      </c>
      <c r="F58" s="34">
        <f>E58*H76</f>
        <v>63.690358450835319</v>
      </c>
      <c r="G58" s="24"/>
      <c r="H58" s="24"/>
      <c r="J58" s="31"/>
      <c r="K58" s="31"/>
      <c r="L58" s="31"/>
      <c r="M58" s="31"/>
      <c r="Q58" s="33"/>
    </row>
    <row r="59" spans="2:17" x14ac:dyDescent="0.25">
      <c r="B59" s="84"/>
      <c r="C59" s="37" t="s">
        <v>74</v>
      </c>
      <c r="D59" s="43">
        <v>3.5</v>
      </c>
      <c r="E59" s="43">
        <f t="shared" si="6"/>
        <v>42</v>
      </c>
      <c r="F59" s="34">
        <f>E59*H76</f>
        <v>53.457135390389354</v>
      </c>
      <c r="G59" s="24"/>
      <c r="H59" s="24"/>
      <c r="J59" s="31"/>
      <c r="K59" s="31"/>
      <c r="L59" s="31"/>
      <c r="M59" s="31"/>
    </row>
    <row r="60" spans="2:17" x14ac:dyDescent="0.25">
      <c r="B60" s="84"/>
      <c r="C60" s="37" t="s">
        <v>75</v>
      </c>
      <c r="D60" s="43">
        <v>1.67</v>
      </c>
      <c r="E60" s="43">
        <f t="shared" si="6"/>
        <v>20.04</v>
      </c>
      <c r="F60" s="34">
        <f>E60*H76</f>
        <v>25.50669031484292</v>
      </c>
      <c r="G60" s="28"/>
      <c r="H60" s="28"/>
      <c r="J60" s="31"/>
      <c r="K60" s="31"/>
      <c r="L60" s="31"/>
      <c r="M60" s="31"/>
    </row>
    <row r="61" spans="2:17" x14ac:dyDescent="0.25">
      <c r="B61" s="84"/>
      <c r="C61" s="37" t="s">
        <v>76</v>
      </c>
      <c r="D61" s="42">
        <v>0.33</v>
      </c>
      <c r="E61" s="43">
        <f t="shared" si="6"/>
        <v>3.96</v>
      </c>
      <c r="F61" s="34">
        <f>E61*H76</f>
        <v>5.0402441939509961</v>
      </c>
      <c r="G61" s="24"/>
      <c r="H61" s="24"/>
      <c r="J61" s="31"/>
      <c r="K61" s="31"/>
      <c r="L61" s="31"/>
      <c r="M61" s="31"/>
    </row>
    <row r="62" spans="2:17" x14ac:dyDescent="0.25">
      <c r="B62" s="84"/>
      <c r="C62" s="41" t="s">
        <v>15</v>
      </c>
      <c r="D62" s="56">
        <f>SUM(D43:D61)</f>
        <v>415.51000000000005</v>
      </c>
      <c r="E62" s="56">
        <f>SUM(E43:E61)</f>
        <v>4791.4800000000005</v>
      </c>
      <c r="F62" s="56">
        <f>SUM(F43:F61)</f>
        <v>6098.5427400081617</v>
      </c>
      <c r="G62" s="48"/>
      <c r="J62" s="31"/>
      <c r="K62" s="31"/>
      <c r="L62" s="31"/>
      <c r="M62" s="31"/>
    </row>
    <row r="63" spans="2:17" x14ac:dyDescent="0.25">
      <c r="B63" s="39"/>
      <c r="G63" s="48"/>
      <c r="J63" s="31"/>
      <c r="K63" s="31"/>
      <c r="L63" s="31"/>
      <c r="M63" s="31"/>
    </row>
    <row r="64" spans="2:17" x14ac:dyDescent="0.25">
      <c r="B64" s="39"/>
      <c r="C64" s="46"/>
      <c r="D64" s="47"/>
      <c r="E64" s="57" t="s">
        <v>77</v>
      </c>
      <c r="F64" s="58" t="s">
        <v>78</v>
      </c>
      <c r="G64" s="54"/>
      <c r="J64" s="31"/>
      <c r="K64" s="31"/>
      <c r="L64" s="31"/>
      <c r="M64" s="31"/>
    </row>
    <row r="65" spans="2:13" x14ac:dyDescent="0.25">
      <c r="B65" s="39"/>
      <c r="C65" s="46"/>
      <c r="D65" s="54" t="s">
        <v>87</v>
      </c>
      <c r="E65" s="51">
        <f>E42+E62+E41</f>
        <v>7476.7900000000009</v>
      </c>
      <c r="F65" s="49">
        <f>(F42+F62+F41)</f>
        <v>8916.0642776512286</v>
      </c>
      <c r="G65" s="54"/>
      <c r="J65" s="31"/>
      <c r="K65" s="31"/>
      <c r="L65" s="31"/>
      <c r="M65" s="31"/>
    </row>
    <row r="66" spans="2:13" x14ac:dyDescent="0.25">
      <c r="B66" s="39"/>
      <c r="C66" s="46"/>
      <c r="D66" s="54" t="s">
        <v>86</v>
      </c>
      <c r="E66" s="52">
        <f>7797.6</f>
        <v>7797.6</v>
      </c>
      <c r="F66" s="49">
        <f>(247*8*6*0.9)</f>
        <v>10670.4</v>
      </c>
      <c r="G66" s="54"/>
      <c r="J66" s="31"/>
      <c r="K66" s="31"/>
      <c r="L66" s="31"/>
      <c r="M66" s="31"/>
    </row>
    <row r="67" spans="2:13" x14ac:dyDescent="0.25">
      <c r="B67" s="39"/>
      <c r="C67" s="46"/>
      <c r="D67" s="55" t="s">
        <v>81</v>
      </c>
      <c r="E67" s="53">
        <f>E65/E66</f>
        <v>0.95885785369857401</v>
      </c>
      <c r="F67" s="50">
        <f>F65/F66</f>
        <v>0.83558857003029208</v>
      </c>
      <c r="G67" s="71"/>
      <c r="J67" s="31"/>
      <c r="K67" s="31"/>
      <c r="L67" s="31"/>
      <c r="M67" s="31"/>
    </row>
    <row r="68" spans="2:13" ht="16.5" customHeight="1" x14ac:dyDescent="0.25">
      <c r="E68" s="85" t="s">
        <v>89</v>
      </c>
      <c r="F68" s="85"/>
      <c r="J68" s="31"/>
      <c r="K68" s="31"/>
      <c r="L68" s="31"/>
      <c r="M68" s="31"/>
    </row>
    <row r="69" spans="2:13" x14ac:dyDescent="0.25">
      <c r="J69" s="31"/>
      <c r="K69" s="31"/>
      <c r="L69" s="31"/>
      <c r="M69" s="31"/>
    </row>
    <row r="70" spans="2:13" x14ac:dyDescent="0.25">
      <c r="D70" s="83">
        <v>2027</v>
      </c>
      <c r="E70" s="83"/>
      <c r="F70" s="83">
        <v>2026</v>
      </c>
      <c r="G70" s="83"/>
      <c r="J70" s="31"/>
      <c r="K70" s="31"/>
      <c r="L70" s="31"/>
      <c r="M70" s="31"/>
    </row>
    <row r="71" spans="2:13" x14ac:dyDescent="0.25">
      <c r="C71" s="30" t="s">
        <v>1</v>
      </c>
      <c r="D71" s="30" t="s">
        <v>2</v>
      </c>
      <c r="E71" s="30" t="s">
        <v>3</v>
      </c>
      <c r="F71" s="13" t="s">
        <v>2</v>
      </c>
      <c r="G71" s="13" t="s">
        <v>3</v>
      </c>
      <c r="J71" s="31"/>
      <c r="K71" s="31"/>
      <c r="L71" s="31"/>
      <c r="M71" s="31"/>
    </row>
    <row r="72" spans="2:13" x14ac:dyDescent="0.25">
      <c r="C72" s="9" t="s">
        <v>6</v>
      </c>
      <c r="D72" s="10" t="s">
        <v>7</v>
      </c>
      <c r="E72" s="11">
        <f>'[1]2027 部門績效與資源預估表'!$E$3</f>
        <v>785000</v>
      </c>
      <c r="F72" s="10" t="s">
        <v>7</v>
      </c>
      <c r="G72" s="11">
        <v>660000</v>
      </c>
      <c r="J72" s="31"/>
      <c r="K72" s="31"/>
      <c r="L72" s="31"/>
      <c r="M72" s="31"/>
    </row>
    <row r="73" spans="2:13" x14ac:dyDescent="0.25">
      <c r="C73" s="9" t="s">
        <v>6</v>
      </c>
      <c r="D73" s="10" t="s">
        <v>8</v>
      </c>
      <c r="E73" s="11">
        <f>'[1]2027 部門績效與資源預估表'!$E$4</f>
        <v>225000</v>
      </c>
      <c r="F73" s="10" t="s">
        <v>8</v>
      </c>
      <c r="G73" s="11">
        <v>140000</v>
      </c>
      <c r="J73" s="31"/>
      <c r="K73" s="31"/>
      <c r="L73" s="31"/>
      <c r="M73" s="31"/>
    </row>
    <row r="74" spans="2:13" x14ac:dyDescent="0.25">
      <c r="C74" s="9" t="s">
        <v>6</v>
      </c>
      <c r="D74" s="10" t="s">
        <v>9</v>
      </c>
      <c r="E74" s="11">
        <f>'[1]2027 部門績效與資源預估表'!$E$5</f>
        <v>35000</v>
      </c>
      <c r="F74" s="10" t="s">
        <v>9</v>
      </c>
      <c r="G74" s="11">
        <v>20000</v>
      </c>
      <c r="J74" s="31"/>
      <c r="K74" s="31"/>
      <c r="L74" s="31"/>
      <c r="M74" s="31"/>
    </row>
    <row r="75" spans="2:13" x14ac:dyDescent="0.25">
      <c r="C75" s="9" t="s">
        <v>10</v>
      </c>
      <c r="D75" s="11" t="s">
        <v>46</v>
      </c>
      <c r="E75" s="11">
        <f>(E19/J19)*G75</f>
        <v>6986.7857142857138</v>
      </c>
      <c r="F75" s="11" t="s">
        <v>46</v>
      </c>
      <c r="G75" s="11">
        <v>6521</v>
      </c>
      <c r="H75" s="76" t="s">
        <v>47</v>
      </c>
      <c r="J75" s="31"/>
      <c r="K75" s="31"/>
      <c r="L75" s="31"/>
      <c r="M75" s="31"/>
    </row>
    <row r="76" spans="2:13" x14ac:dyDescent="0.25">
      <c r="D76" s="17"/>
      <c r="E76" s="18">
        <f>SUM(E72:E75)</f>
        <v>1051986.7857142857</v>
      </c>
      <c r="F76" s="17"/>
      <c r="G76" s="18">
        <f>SUM(G72:G75)</f>
        <v>826521</v>
      </c>
      <c r="H76" s="77">
        <f>E76/G76</f>
        <v>1.2727889378664132</v>
      </c>
      <c r="J76" s="31"/>
      <c r="K76" s="31"/>
      <c r="L76" s="31"/>
      <c r="M76" s="31"/>
    </row>
    <row r="77" spans="2:13" x14ac:dyDescent="0.25">
      <c r="F77" s="16" t="s">
        <v>85</v>
      </c>
      <c r="G77" s="19">
        <f>244*8*4*0.9</f>
        <v>7027.2</v>
      </c>
      <c r="J77" s="31"/>
      <c r="K77" s="31"/>
      <c r="L77" s="31"/>
      <c r="M77" s="31"/>
    </row>
    <row r="78" spans="2:13" x14ac:dyDescent="0.25">
      <c r="F78" s="16" t="s">
        <v>48</v>
      </c>
      <c r="G78" s="19">
        <f>G77*G79</f>
        <v>6549.3504000000003</v>
      </c>
      <c r="J78" s="31"/>
      <c r="K78" s="31"/>
      <c r="L78" s="31"/>
      <c r="M78" s="31"/>
    </row>
    <row r="79" spans="2:13" x14ac:dyDescent="0.25">
      <c r="F79" s="16" t="s">
        <v>51</v>
      </c>
      <c r="G79" s="20">
        <v>0.93200000000000005</v>
      </c>
      <c r="J79" s="31"/>
      <c r="K79" s="31"/>
      <c r="L79" s="31"/>
      <c r="M79" s="31"/>
    </row>
    <row r="80" spans="2:13" x14ac:dyDescent="0.25">
      <c r="F80" s="21" t="s">
        <v>49</v>
      </c>
      <c r="G80" s="22">
        <f>168*4*0.9*12*H76</f>
        <v>9237.3929954592804</v>
      </c>
      <c r="J80" s="31"/>
      <c r="K80" s="31"/>
      <c r="L80" s="31"/>
      <c r="M80" s="32"/>
    </row>
    <row r="81" spans="6:17" x14ac:dyDescent="0.25">
      <c r="F81" s="21" t="s">
        <v>84</v>
      </c>
      <c r="G81" s="22">
        <f>(247*8*6*0.9)</f>
        <v>10670.4</v>
      </c>
      <c r="J81" s="31"/>
      <c r="K81" s="31"/>
      <c r="L81" s="31"/>
      <c r="M81" s="32"/>
    </row>
    <row r="82" spans="6:17" x14ac:dyDescent="0.25">
      <c r="F82" s="21" t="s">
        <v>50</v>
      </c>
      <c r="G82" s="23">
        <f>G80/G81</f>
        <v>0.86570259741521227</v>
      </c>
      <c r="J82" s="31"/>
      <c r="K82" s="31"/>
      <c r="L82" s="31"/>
      <c r="M82" s="31"/>
    </row>
    <row r="83" spans="6:17" x14ac:dyDescent="0.25">
      <c r="F83" s="85" t="s">
        <v>90</v>
      </c>
      <c r="G83" s="85"/>
      <c r="J83" s="31"/>
      <c r="K83" s="31"/>
      <c r="L83" s="31"/>
      <c r="M83" s="31"/>
    </row>
    <row r="84" spans="6:17" x14ac:dyDescent="0.25">
      <c r="J84" s="31"/>
      <c r="K84" s="31"/>
      <c r="L84" s="31"/>
      <c r="M84" s="31"/>
    </row>
    <row r="85" spans="6:17" x14ac:dyDescent="0.25">
      <c r="J85" s="31"/>
      <c r="K85" s="31"/>
      <c r="L85" s="31"/>
      <c r="M85" s="32"/>
      <c r="N85" s="36"/>
      <c r="O85" s="36"/>
      <c r="P85" s="36"/>
      <c r="Q85" s="36"/>
    </row>
    <row r="86" spans="6:17" x14ac:dyDescent="0.25">
      <c r="J86" s="31"/>
      <c r="K86" s="31"/>
      <c r="L86" s="31"/>
      <c r="M86" s="32"/>
      <c r="N86" s="36"/>
      <c r="O86" s="36"/>
      <c r="P86" s="36"/>
      <c r="Q86" s="36"/>
    </row>
    <row r="87" spans="6:17" x14ac:dyDescent="0.25">
      <c r="K87" s="31"/>
      <c r="L87" s="31"/>
      <c r="M87" s="32"/>
      <c r="N87" s="36"/>
      <c r="O87" s="36"/>
      <c r="P87" s="36"/>
      <c r="Q87" s="36"/>
    </row>
    <row r="88" spans="6:17" x14ac:dyDescent="0.25">
      <c r="K88" s="31"/>
      <c r="L88" s="31"/>
      <c r="M88" s="32"/>
      <c r="N88" s="36"/>
      <c r="O88" s="36"/>
      <c r="P88" s="36"/>
      <c r="Q88" s="36"/>
    </row>
    <row r="89" spans="6:17" x14ac:dyDescent="0.25">
      <c r="K89" s="31"/>
      <c r="M89" s="32"/>
      <c r="N89" s="36"/>
      <c r="O89" s="36"/>
      <c r="P89" s="36"/>
      <c r="Q89" s="36"/>
    </row>
    <row r="90" spans="6:17" x14ac:dyDescent="0.25">
      <c r="K90" s="31"/>
      <c r="M90" s="32"/>
      <c r="N90" s="36"/>
      <c r="O90" s="36"/>
      <c r="P90" s="36"/>
      <c r="Q90" s="36"/>
    </row>
    <row r="91" spans="6:17" x14ac:dyDescent="0.25">
      <c r="M91" s="69"/>
      <c r="N91" s="36"/>
      <c r="O91" s="69"/>
      <c r="P91" s="36"/>
      <c r="Q91" s="36"/>
    </row>
    <row r="92" spans="6:17" x14ac:dyDescent="0.25">
      <c r="M92" s="32"/>
      <c r="N92" s="36"/>
      <c r="O92" s="70"/>
      <c r="P92" s="36"/>
      <c r="Q92" s="36"/>
    </row>
    <row r="93" spans="6:17" x14ac:dyDescent="0.25">
      <c r="M93" s="36"/>
      <c r="N93" s="36"/>
      <c r="O93" s="32"/>
      <c r="P93" s="36"/>
      <c r="Q93" s="36"/>
    </row>
    <row r="94" spans="6:17" x14ac:dyDescent="0.25">
      <c r="M94" s="71"/>
      <c r="N94" s="36"/>
      <c r="O94" s="71"/>
      <c r="P94" s="36"/>
      <c r="Q94" s="36"/>
    </row>
    <row r="95" spans="6:17" x14ac:dyDescent="0.25">
      <c r="M95" s="36"/>
      <c r="N95" s="36"/>
      <c r="O95" s="36"/>
      <c r="P95" s="36"/>
      <c r="Q95" s="36"/>
    </row>
    <row r="96" spans="6:17" x14ac:dyDescent="0.25">
      <c r="M96" s="72"/>
      <c r="N96" s="36"/>
      <c r="O96" s="73"/>
      <c r="P96" s="36"/>
      <c r="Q96" s="36"/>
    </row>
    <row r="97" spans="13:17" x14ac:dyDescent="0.25">
      <c r="M97" s="72"/>
      <c r="N97" s="36"/>
      <c r="O97" s="72"/>
      <c r="P97" s="36"/>
      <c r="Q97" s="36"/>
    </row>
    <row r="98" spans="13:17" x14ac:dyDescent="0.25">
      <c r="M98" s="74"/>
      <c r="N98" s="36"/>
      <c r="O98" s="74"/>
      <c r="P98" s="36"/>
      <c r="Q98" s="36"/>
    </row>
    <row r="99" spans="13:17" x14ac:dyDescent="0.25">
      <c r="M99" s="36"/>
      <c r="N99" s="36"/>
      <c r="O99" s="36"/>
      <c r="P99" s="36"/>
      <c r="Q99" s="36"/>
    </row>
    <row r="100" spans="13:17" x14ac:dyDescent="0.25">
      <c r="M100" s="36"/>
      <c r="N100" s="36"/>
      <c r="O100" s="36"/>
      <c r="P100" s="36"/>
      <c r="Q100" s="36"/>
    </row>
  </sheetData>
  <mergeCells count="20">
    <mergeCell ref="N48:O48"/>
    <mergeCell ref="B7:B9"/>
    <mergeCell ref="B1:D1"/>
    <mergeCell ref="E1:G1"/>
    <mergeCell ref="H1:J1"/>
    <mergeCell ref="K1:M1"/>
    <mergeCell ref="B3:B5"/>
    <mergeCell ref="B16:B18"/>
    <mergeCell ref="B20:B22"/>
    <mergeCell ref="F34:G34"/>
    <mergeCell ref="B38:B42"/>
    <mergeCell ref="C13:L13"/>
    <mergeCell ref="C14:G14"/>
    <mergeCell ref="H14:L14"/>
    <mergeCell ref="I38:I46"/>
    <mergeCell ref="D70:E70"/>
    <mergeCell ref="F70:G70"/>
    <mergeCell ref="B43:B62"/>
    <mergeCell ref="E68:F68"/>
    <mergeCell ref="F83:G8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6E69-4013-46CC-874C-005E95E1080C}">
  <dimension ref="B1:M34"/>
  <sheetViews>
    <sheetView topLeftCell="A10" workbookViewId="0">
      <selection activeCell="H32" sqref="H32"/>
    </sheetView>
  </sheetViews>
  <sheetFormatPr defaultRowHeight="16.5" x14ac:dyDescent="0.25"/>
  <cols>
    <col min="1" max="1" width="2.5" customWidth="1"/>
    <col min="2" max="2" width="13.5" customWidth="1"/>
    <col min="3" max="3" width="12.375" bestFit="1" customWidth="1"/>
    <col min="4" max="4" width="9.875" customWidth="1"/>
    <col min="5" max="13" width="11.5" customWidth="1"/>
  </cols>
  <sheetData>
    <row r="1" spans="2:13" x14ac:dyDescent="0.25">
      <c r="B1" s="90" t="s">
        <v>16</v>
      </c>
      <c r="C1" s="90"/>
      <c r="D1" s="90"/>
      <c r="E1" s="90">
        <v>2027</v>
      </c>
      <c r="F1" s="90"/>
      <c r="G1" s="90"/>
      <c r="H1" s="90">
        <v>2026</v>
      </c>
      <c r="I1" s="90"/>
      <c r="J1" s="90"/>
      <c r="K1" s="90">
        <v>2025</v>
      </c>
      <c r="L1" s="90"/>
      <c r="M1" s="90"/>
    </row>
    <row r="2" spans="2:13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3</v>
      </c>
      <c r="I2" s="4" t="s">
        <v>4</v>
      </c>
      <c r="J2" s="4" t="s">
        <v>5</v>
      </c>
      <c r="K2" s="4" t="s">
        <v>3</v>
      </c>
      <c r="L2" s="4" t="s">
        <v>4</v>
      </c>
      <c r="M2" s="4" t="s">
        <v>5</v>
      </c>
    </row>
    <row r="3" spans="2:13" x14ac:dyDescent="0.25">
      <c r="B3" s="91" t="s">
        <v>18</v>
      </c>
      <c r="C3" s="1" t="s">
        <v>6</v>
      </c>
      <c r="D3" s="1" t="s">
        <v>7</v>
      </c>
      <c r="E3" s="2">
        <f>'[1]2027 部門績效與資源預估表'!$E$3</f>
        <v>785000</v>
      </c>
      <c r="F3" s="3">
        <v>0.21</v>
      </c>
      <c r="G3" s="2">
        <f>E3*F3</f>
        <v>164850</v>
      </c>
      <c r="H3" s="2">
        <v>660000</v>
      </c>
      <c r="I3" s="3">
        <v>0.2</v>
      </c>
      <c r="J3" s="2">
        <f t="shared" ref="J3:J9" si="0">H3*I3</f>
        <v>132000</v>
      </c>
      <c r="K3" s="2">
        <v>550000</v>
      </c>
      <c r="L3" s="3">
        <v>0.185</v>
      </c>
      <c r="M3" s="2">
        <f t="shared" ref="M3:M9" si="1">K3*L3</f>
        <v>101750</v>
      </c>
    </row>
    <row r="4" spans="2:13" x14ac:dyDescent="0.25">
      <c r="B4" s="92"/>
      <c r="C4" s="1" t="s">
        <v>6</v>
      </c>
      <c r="D4" s="1" t="s">
        <v>8</v>
      </c>
      <c r="E4" s="2">
        <f>'[1]2027 部門績效與資源預估表'!$E$4</f>
        <v>225000</v>
      </c>
      <c r="F4" s="3">
        <v>0.12</v>
      </c>
      <c r="G4" s="2">
        <f t="shared" ref="G4:G9" si="2">E4*F4</f>
        <v>27000</v>
      </c>
      <c r="H4" s="2">
        <v>140000</v>
      </c>
      <c r="I4" s="3">
        <v>0.1</v>
      </c>
      <c r="J4" s="2">
        <f t="shared" si="0"/>
        <v>14000</v>
      </c>
      <c r="K4" s="2">
        <v>100000</v>
      </c>
      <c r="L4" s="3">
        <v>7.4999999999999997E-2</v>
      </c>
      <c r="M4" s="2">
        <f t="shared" si="1"/>
        <v>7500</v>
      </c>
    </row>
    <row r="5" spans="2:13" x14ac:dyDescent="0.25">
      <c r="B5" s="93"/>
      <c r="C5" s="1" t="s">
        <v>6</v>
      </c>
      <c r="D5" s="1" t="s">
        <v>9</v>
      </c>
      <c r="E5" s="2">
        <f>'[1]2027 部門績效與資源預估表'!$E$5</f>
        <v>35000</v>
      </c>
      <c r="F5" s="3">
        <v>0.05</v>
      </c>
      <c r="G5" s="2">
        <f t="shared" si="2"/>
        <v>1750</v>
      </c>
      <c r="H5" s="2">
        <v>20000</v>
      </c>
      <c r="I5" s="3">
        <v>0.05</v>
      </c>
      <c r="J5" s="2">
        <f t="shared" si="0"/>
        <v>1000</v>
      </c>
      <c r="K5" s="2">
        <v>30000</v>
      </c>
      <c r="L5" s="3">
        <v>7.4999999999999997E-2</v>
      </c>
      <c r="M5" s="2">
        <f t="shared" si="1"/>
        <v>2250</v>
      </c>
    </row>
    <row r="6" spans="2:13" x14ac:dyDescent="0.25">
      <c r="B6" s="4" t="s">
        <v>19</v>
      </c>
      <c r="C6" s="1" t="s">
        <v>10</v>
      </c>
      <c r="D6" s="1" t="s">
        <v>7</v>
      </c>
      <c r="E6" s="2">
        <f>'[1]2027 部門績效與資源預估表'!$E$6</f>
        <v>75000</v>
      </c>
      <c r="F6" s="3">
        <v>0.9</v>
      </c>
      <c r="G6" s="2">
        <f t="shared" si="2"/>
        <v>67500</v>
      </c>
      <c r="H6" s="2">
        <v>70000</v>
      </c>
      <c r="I6" s="3">
        <v>0.9</v>
      </c>
      <c r="J6" s="2">
        <f t="shared" si="0"/>
        <v>63000</v>
      </c>
      <c r="K6" s="2">
        <v>55000</v>
      </c>
      <c r="L6" s="3">
        <v>0.9</v>
      </c>
      <c r="M6" s="2">
        <f t="shared" si="1"/>
        <v>49500</v>
      </c>
    </row>
    <row r="7" spans="2:13" x14ac:dyDescent="0.25">
      <c r="B7" s="87" t="s">
        <v>12</v>
      </c>
      <c r="C7" s="1" t="s">
        <v>11</v>
      </c>
      <c r="D7" s="1" t="s">
        <v>7</v>
      </c>
      <c r="E7" s="2">
        <f>'[1]2027 部門績效與資源預估表'!$E$7</f>
        <v>45000</v>
      </c>
      <c r="F7" s="3">
        <v>0.42499999999999999</v>
      </c>
      <c r="G7" s="2">
        <f t="shared" si="2"/>
        <v>19125</v>
      </c>
      <c r="H7" s="2">
        <v>40000</v>
      </c>
      <c r="I7" s="3">
        <v>0.4</v>
      </c>
      <c r="J7" s="2">
        <f t="shared" si="0"/>
        <v>16000</v>
      </c>
      <c r="K7" s="2">
        <v>25000</v>
      </c>
      <c r="L7" s="3">
        <v>0.4</v>
      </c>
      <c r="M7" s="2">
        <f t="shared" si="1"/>
        <v>10000</v>
      </c>
    </row>
    <row r="8" spans="2:13" x14ac:dyDescent="0.25">
      <c r="B8" s="88"/>
      <c r="C8" s="1" t="s">
        <v>13</v>
      </c>
      <c r="D8" s="1" t="s">
        <v>7</v>
      </c>
      <c r="E8" s="2">
        <f>'[1]2027 部門績效與資源預估表'!$E$8</f>
        <v>35000</v>
      </c>
      <c r="F8" s="3">
        <v>0.4</v>
      </c>
      <c r="G8" s="2">
        <f t="shared" si="2"/>
        <v>14000</v>
      </c>
      <c r="H8" s="2">
        <v>20000</v>
      </c>
      <c r="I8" s="3">
        <v>0.35</v>
      </c>
      <c r="J8" s="2">
        <f t="shared" si="0"/>
        <v>7000</v>
      </c>
      <c r="K8" s="2">
        <v>40000</v>
      </c>
      <c r="L8" s="3">
        <v>0.4</v>
      </c>
      <c r="M8" s="2">
        <f t="shared" si="1"/>
        <v>16000</v>
      </c>
    </row>
    <row r="9" spans="2:13" x14ac:dyDescent="0.25">
      <c r="B9" s="89"/>
      <c r="C9" s="1" t="s">
        <v>14</v>
      </c>
      <c r="D9" s="1" t="s">
        <v>7</v>
      </c>
      <c r="E9" s="2">
        <f>'[1]2027 部門績效與資源預估表'!$E$9</f>
        <v>10000</v>
      </c>
      <c r="F9" s="3">
        <v>0.9</v>
      </c>
      <c r="G9" s="2">
        <f t="shared" si="2"/>
        <v>9000</v>
      </c>
      <c r="H9" s="2">
        <v>15000</v>
      </c>
      <c r="I9" s="3">
        <v>0.9</v>
      </c>
      <c r="J9" s="2">
        <f t="shared" si="0"/>
        <v>13500</v>
      </c>
      <c r="K9" s="2">
        <v>10000</v>
      </c>
      <c r="L9" s="3">
        <v>0.9</v>
      </c>
      <c r="M9" s="2">
        <f t="shared" si="1"/>
        <v>9000</v>
      </c>
    </row>
    <row r="10" spans="2:13" x14ac:dyDescent="0.25">
      <c r="B10" s="1" t="s">
        <v>15</v>
      </c>
      <c r="C10" s="1"/>
      <c r="D10" s="1"/>
      <c r="E10" s="2">
        <f>SUM(E3:E9)</f>
        <v>1210000</v>
      </c>
      <c r="F10" s="3">
        <f>G10/E10</f>
        <v>0.25059917355371902</v>
      </c>
      <c r="G10" s="2">
        <f>SUM(G3:G9)</f>
        <v>303225</v>
      </c>
      <c r="H10" s="2">
        <f>SUM(H3:H9)</f>
        <v>965000</v>
      </c>
      <c r="I10" s="3">
        <f>J10/H10</f>
        <v>0.255440414507772</v>
      </c>
      <c r="J10" s="2">
        <f>SUM(J3:J9)</f>
        <v>246500</v>
      </c>
      <c r="K10" s="2">
        <f>SUM(K3:K9)</f>
        <v>810000</v>
      </c>
      <c r="L10" s="3">
        <f>M10/K10</f>
        <v>0.24197530864197531</v>
      </c>
      <c r="M10" s="2">
        <f>SUM(M3:M9)</f>
        <v>196000</v>
      </c>
    </row>
    <row r="11" spans="2:13" x14ac:dyDescent="0.25">
      <c r="B11" s="5"/>
      <c r="C11" s="5"/>
      <c r="D11" s="3" t="s">
        <v>38</v>
      </c>
      <c r="E11" s="3">
        <f>E10/H10-1</f>
        <v>0.25388601036269431</v>
      </c>
      <c r="F11" s="3">
        <f>F10/I10-1</f>
        <v>-1.8952525438787449E-2</v>
      </c>
      <c r="G11" s="3">
        <f>G10/J10-1</f>
        <v>0.23012170385395536</v>
      </c>
      <c r="H11" s="6"/>
      <c r="I11" s="7"/>
      <c r="J11" s="6"/>
    </row>
    <row r="13" spans="2:13" x14ac:dyDescent="0.25">
      <c r="B13" s="1" t="s">
        <v>17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</row>
    <row r="14" spans="2:13" x14ac:dyDescent="0.25">
      <c r="B14" s="1"/>
      <c r="C14" s="101">
        <v>2026</v>
      </c>
      <c r="D14" s="102"/>
      <c r="E14" s="102"/>
      <c r="F14" s="102"/>
      <c r="G14" s="103"/>
      <c r="H14" s="101">
        <v>2025</v>
      </c>
      <c r="I14" s="102"/>
      <c r="J14" s="102"/>
      <c r="K14" s="102"/>
      <c r="L14" s="103"/>
    </row>
    <row r="15" spans="2:13" x14ac:dyDescent="0.25">
      <c r="B15" s="1" t="s">
        <v>20</v>
      </c>
      <c r="C15" s="4" t="s">
        <v>1</v>
      </c>
      <c r="D15" s="4" t="s">
        <v>2</v>
      </c>
      <c r="E15" s="4" t="s">
        <v>3</v>
      </c>
      <c r="F15" s="4" t="s">
        <v>4</v>
      </c>
      <c r="G15" s="4" t="s">
        <v>5</v>
      </c>
      <c r="H15" s="4" t="s">
        <v>1</v>
      </c>
      <c r="I15" s="4" t="s">
        <v>2</v>
      </c>
      <c r="J15" s="4" t="s">
        <v>3</v>
      </c>
      <c r="K15" s="4" t="s">
        <v>4</v>
      </c>
      <c r="L15" s="4" t="s">
        <v>5</v>
      </c>
    </row>
    <row r="16" spans="2:13" x14ac:dyDescent="0.25">
      <c r="B16" s="94" t="s">
        <v>18</v>
      </c>
      <c r="C16" s="9" t="s">
        <v>6</v>
      </c>
      <c r="D16" s="10" t="s">
        <v>7</v>
      </c>
      <c r="E16" s="11"/>
      <c r="F16" s="12"/>
      <c r="G16" s="11"/>
      <c r="H16" s="1" t="s">
        <v>6</v>
      </c>
      <c r="I16" s="10" t="s">
        <v>7</v>
      </c>
      <c r="J16" s="11"/>
      <c r="K16" s="12"/>
      <c r="L16" s="11"/>
    </row>
    <row r="17" spans="2:12" x14ac:dyDescent="0.25">
      <c r="B17" s="94"/>
      <c r="C17" s="9" t="s">
        <v>6</v>
      </c>
      <c r="D17" s="10" t="s">
        <v>8</v>
      </c>
      <c r="E17" s="11"/>
      <c r="F17" s="12"/>
      <c r="G17" s="11"/>
      <c r="H17" s="1" t="s">
        <v>6</v>
      </c>
      <c r="I17" s="10" t="s">
        <v>8</v>
      </c>
      <c r="J17" s="11"/>
      <c r="K17" s="12"/>
      <c r="L17" s="11"/>
    </row>
    <row r="18" spans="2:12" x14ac:dyDescent="0.25">
      <c r="B18" s="94"/>
      <c r="C18" s="9" t="s">
        <v>6</v>
      </c>
      <c r="D18" s="10" t="s">
        <v>9</v>
      </c>
      <c r="E18" s="11"/>
      <c r="F18" s="12"/>
      <c r="G18" s="11"/>
      <c r="H18" s="1" t="s">
        <v>6</v>
      </c>
      <c r="I18" s="10" t="s">
        <v>9</v>
      </c>
      <c r="J18" s="11"/>
      <c r="K18" s="12"/>
      <c r="L18" s="11"/>
    </row>
    <row r="19" spans="2:12" x14ac:dyDescent="0.25">
      <c r="B19" s="4" t="s">
        <v>19</v>
      </c>
      <c r="C19" s="9" t="s">
        <v>10</v>
      </c>
      <c r="D19" s="10" t="s">
        <v>7</v>
      </c>
      <c r="E19" s="11"/>
      <c r="F19" s="12"/>
      <c r="G19" s="11"/>
      <c r="H19" s="1" t="s">
        <v>10</v>
      </c>
      <c r="I19" s="10" t="s">
        <v>7</v>
      </c>
      <c r="J19" s="11"/>
      <c r="K19" s="12"/>
      <c r="L19" s="11"/>
    </row>
    <row r="20" spans="2:12" x14ac:dyDescent="0.25">
      <c r="B20" s="90" t="s">
        <v>12</v>
      </c>
      <c r="C20" s="9" t="s">
        <v>11</v>
      </c>
      <c r="D20" s="10" t="s">
        <v>7</v>
      </c>
      <c r="E20" s="11"/>
      <c r="F20" s="12"/>
      <c r="G20" s="11"/>
      <c r="H20" s="1" t="s">
        <v>11</v>
      </c>
      <c r="I20" s="10" t="s">
        <v>7</v>
      </c>
      <c r="J20" s="11"/>
      <c r="K20" s="12"/>
      <c r="L20" s="11"/>
    </row>
    <row r="21" spans="2:12" x14ac:dyDescent="0.25">
      <c r="B21" s="90"/>
      <c r="C21" s="9" t="s">
        <v>13</v>
      </c>
      <c r="D21" s="10" t="s">
        <v>7</v>
      </c>
      <c r="E21" s="11"/>
      <c r="F21" s="12"/>
      <c r="G21" s="11"/>
      <c r="H21" s="1" t="s">
        <v>13</v>
      </c>
      <c r="I21" s="10" t="s">
        <v>7</v>
      </c>
      <c r="J21" s="11"/>
      <c r="K21" s="12"/>
      <c r="L21" s="11"/>
    </row>
    <row r="22" spans="2:12" x14ac:dyDescent="0.25">
      <c r="B22" s="90"/>
      <c r="C22" s="9" t="s">
        <v>14</v>
      </c>
      <c r="D22" s="10" t="s">
        <v>7</v>
      </c>
      <c r="E22" s="11"/>
      <c r="F22" s="12"/>
      <c r="G22" s="11"/>
      <c r="H22" s="1" t="s">
        <v>14</v>
      </c>
      <c r="I22" s="10" t="s">
        <v>7</v>
      </c>
      <c r="J22" s="11"/>
      <c r="K22" s="12"/>
      <c r="L22" s="11"/>
    </row>
    <row r="23" spans="2:12" x14ac:dyDescent="0.25">
      <c r="B23" s="4" t="s">
        <v>33</v>
      </c>
      <c r="C23" s="9"/>
      <c r="D23" s="10"/>
      <c r="E23" s="11">
        <f>SUM(E16:E22)</f>
        <v>0</v>
      </c>
      <c r="F23" s="12" t="e">
        <f>G23/E23</f>
        <v>#DIV/0!</v>
      </c>
      <c r="G23" s="11">
        <f>SUM(G16:G22)</f>
        <v>0</v>
      </c>
      <c r="H23" s="1"/>
      <c r="I23" s="10"/>
      <c r="J23" s="11">
        <f>SUM(J16:J22)</f>
        <v>0</v>
      </c>
      <c r="K23" s="12" t="e">
        <f>L23/J23</f>
        <v>#DIV/0!</v>
      </c>
      <c r="L23" s="11">
        <f>SUM(L16:L22)</f>
        <v>0</v>
      </c>
    </row>
    <row r="25" spans="2:12" x14ac:dyDescent="0.25">
      <c r="B25" s="1" t="s">
        <v>24</v>
      </c>
      <c r="C25" s="2" t="s">
        <v>25</v>
      </c>
      <c r="D25" s="2" t="s">
        <v>22</v>
      </c>
      <c r="E25" s="2" t="s">
        <v>23</v>
      </c>
      <c r="F25" s="2"/>
      <c r="G25" s="2" t="s">
        <v>36</v>
      </c>
      <c r="H25" s="2" t="s">
        <v>37</v>
      </c>
    </row>
    <row r="26" spans="2:12" x14ac:dyDescent="0.25">
      <c r="B26" s="9"/>
      <c r="C26" s="11"/>
      <c r="D26" s="11"/>
      <c r="E26" s="11"/>
      <c r="F26" s="8">
        <v>2026</v>
      </c>
      <c r="G26" s="11" t="e">
        <f>E23/C34</f>
        <v>#DIV/0!</v>
      </c>
      <c r="H26" s="11" t="e">
        <f>G23/C34</f>
        <v>#DIV/0!</v>
      </c>
    </row>
    <row r="27" spans="2:12" x14ac:dyDescent="0.25">
      <c r="B27" s="9"/>
      <c r="C27" s="11"/>
      <c r="D27" s="11"/>
      <c r="E27" s="11"/>
      <c r="F27" s="8">
        <v>2025</v>
      </c>
      <c r="G27" s="11" t="e">
        <f>J23/D34</f>
        <v>#DIV/0!</v>
      </c>
      <c r="H27" s="11" t="e">
        <f>L23/D34</f>
        <v>#DIV/0!</v>
      </c>
    </row>
    <row r="28" spans="2:12" x14ac:dyDescent="0.25">
      <c r="B28" s="9"/>
      <c r="C28" s="11"/>
      <c r="D28" s="11"/>
      <c r="E28" s="11"/>
      <c r="F28" s="8" t="s">
        <v>38</v>
      </c>
      <c r="G28" s="12" t="e">
        <f>G26/G27-1</f>
        <v>#DIV/0!</v>
      </c>
      <c r="H28" s="12" t="e">
        <f>H26/H27-1</f>
        <v>#DIV/0!</v>
      </c>
    </row>
    <row r="29" spans="2:12" x14ac:dyDescent="0.25">
      <c r="B29" s="9"/>
      <c r="C29" s="11"/>
      <c r="D29" s="11"/>
      <c r="E29" s="11"/>
    </row>
    <row r="30" spans="2:12" x14ac:dyDescent="0.25">
      <c r="B30" s="9"/>
      <c r="C30" s="11"/>
      <c r="D30" s="11"/>
      <c r="E30" s="11"/>
    </row>
    <row r="31" spans="2:12" x14ac:dyDescent="0.25">
      <c r="B31" s="9"/>
      <c r="C31" s="11"/>
      <c r="D31" s="11"/>
      <c r="E31" s="11"/>
    </row>
    <row r="32" spans="2:12" x14ac:dyDescent="0.25">
      <c r="B32" s="9"/>
      <c r="C32" s="11"/>
      <c r="D32" s="11"/>
      <c r="E32" s="11"/>
    </row>
    <row r="33" spans="2:5" x14ac:dyDescent="0.25">
      <c r="B33" s="9"/>
      <c r="C33" s="11"/>
      <c r="D33" s="11"/>
      <c r="E33" s="11"/>
    </row>
    <row r="34" spans="2:5" x14ac:dyDescent="0.25">
      <c r="B34" s="1" t="s">
        <v>34</v>
      </c>
      <c r="C34" s="2">
        <f>SUM(C26:C33)</f>
        <v>0</v>
      </c>
      <c r="D34" s="2">
        <f>SUM(D26:D33)</f>
        <v>0</v>
      </c>
      <c r="E34" s="2">
        <f>SUM(E26:E33)</f>
        <v>0</v>
      </c>
    </row>
  </sheetData>
  <mergeCells count="11">
    <mergeCell ref="C14:G14"/>
    <mergeCell ref="H14:L14"/>
    <mergeCell ref="B16:B18"/>
    <mergeCell ref="B20:B22"/>
    <mergeCell ref="B1:D1"/>
    <mergeCell ref="E1:G1"/>
    <mergeCell ref="H1:J1"/>
    <mergeCell ref="B3:B5"/>
    <mergeCell ref="B7:B9"/>
    <mergeCell ref="C13:L13"/>
    <mergeCell ref="K1:M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F216-DB53-4505-8ECB-ABBC5E23B31B}">
  <dimension ref="B1:L34"/>
  <sheetViews>
    <sheetView workbookViewId="0">
      <selection sqref="A1:XFD1048576"/>
    </sheetView>
  </sheetViews>
  <sheetFormatPr defaultRowHeight="16.5" x14ac:dyDescent="0.25"/>
  <cols>
    <col min="2" max="2" width="13.5" customWidth="1"/>
    <col min="3" max="3" width="12.375" bestFit="1" customWidth="1"/>
    <col min="4" max="4" width="9.875" customWidth="1"/>
    <col min="5" max="10" width="12.5" customWidth="1"/>
    <col min="11" max="11" width="11.875" customWidth="1"/>
    <col min="12" max="12" width="14.125" customWidth="1"/>
  </cols>
  <sheetData>
    <row r="1" spans="2:12" x14ac:dyDescent="0.25">
      <c r="B1" s="90" t="s">
        <v>16</v>
      </c>
      <c r="C1" s="90"/>
      <c r="D1" s="90"/>
      <c r="E1" s="90">
        <v>2026</v>
      </c>
      <c r="F1" s="90"/>
      <c r="G1" s="90"/>
      <c r="H1" s="90">
        <v>2025</v>
      </c>
      <c r="I1" s="90"/>
      <c r="J1" s="90"/>
    </row>
    <row r="2" spans="2:12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3</v>
      </c>
      <c r="I2" s="4" t="s">
        <v>4</v>
      </c>
      <c r="J2" s="4" t="s">
        <v>5</v>
      </c>
    </row>
    <row r="3" spans="2:12" x14ac:dyDescent="0.25">
      <c r="B3" s="91" t="s">
        <v>18</v>
      </c>
      <c r="C3" s="1" t="s">
        <v>6</v>
      </c>
      <c r="D3" s="1" t="s">
        <v>7</v>
      </c>
      <c r="E3" s="2">
        <v>660000</v>
      </c>
      <c r="F3" s="3">
        <v>0.2</v>
      </c>
      <c r="G3" s="2">
        <f t="shared" ref="G3:G9" si="0">E3*F3</f>
        <v>132000</v>
      </c>
      <c r="H3" s="2">
        <v>550000</v>
      </c>
      <c r="I3" s="3">
        <v>0.185</v>
      </c>
      <c r="J3" s="2">
        <f t="shared" ref="J3:J9" si="1">H3*I3</f>
        <v>101750</v>
      </c>
    </row>
    <row r="4" spans="2:12" x14ac:dyDescent="0.25">
      <c r="B4" s="92"/>
      <c r="C4" s="1" t="s">
        <v>6</v>
      </c>
      <c r="D4" s="1" t="s">
        <v>8</v>
      </c>
      <c r="E4" s="2">
        <v>140000</v>
      </c>
      <c r="F4" s="3">
        <v>0.1</v>
      </c>
      <c r="G4" s="2">
        <f t="shared" si="0"/>
        <v>14000</v>
      </c>
      <c r="H4" s="2">
        <v>100000</v>
      </c>
      <c r="I4" s="3">
        <v>7.4999999999999997E-2</v>
      </c>
      <c r="J4" s="2">
        <f t="shared" si="1"/>
        <v>7500</v>
      </c>
    </row>
    <row r="5" spans="2:12" x14ac:dyDescent="0.25">
      <c r="B5" s="93"/>
      <c r="C5" s="1" t="s">
        <v>6</v>
      </c>
      <c r="D5" s="1" t="s">
        <v>9</v>
      </c>
      <c r="E5" s="2">
        <v>20000</v>
      </c>
      <c r="F5" s="3">
        <v>0.05</v>
      </c>
      <c r="G5" s="2">
        <f t="shared" si="0"/>
        <v>1000</v>
      </c>
      <c r="H5" s="2">
        <v>30000</v>
      </c>
      <c r="I5" s="3">
        <v>7.4999999999999997E-2</v>
      </c>
      <c r="J5" s="2">
        <f t="shared" si="1"/>
        <v>2250</v>
      </c>
    </row>
    <row r="6" spans="2:12" x14ac:dyDescent="0.25">
      <c r="B6" s="4" t="s">
        <v>19</v>
      </c>
      <c r="C6" s="1" t="s">
        <v>10</v>
      </c>
      <c r="D6" s="1" t="s">
        <v>7</v>
      </c>
      <c r="E6" s="2">
        <v>70000</v>
      </c>
      <c r="F6" s="3">
        <v>0.9</v>
      </c>
      <c r="G6" s="2">
        <f t="shared" si="0"/>
        <v>63000</v>
      </c>
      <c r="H6" s="2">
        <v>55000</v>
      </c>
      <c r="I6" s="3">
        <v>0.9</v>
      </c>
      <c r="J6" s="2">
        <f t="shared" si="1"/>
        <v>49500</v>
      </c>
    </row>
    <row r="7" spans="2:12" x14ac:dyDescent="0.25">
      <c r="B7" s="87" t="s">
        <v>12</v>
      </c>
      <c r="C7" s="1" t="s">
        <v>11</v>
      </c>
      <c r="D7" s="1" t="s">
        <v>7</v>
      </c>
      <c r="E7" s="2">
        <v>40000</v>
      </c>
      <c r="F7" s="3">
        <v>0.4</v>
      </c>
      <c r="G7" s="2">
        <f t="shared" si="0"/>
        <v>16000</v>
      </c>
      <c r="H7" s="2">
        <v>25000</v>
      </c>
      <c r="I7" s="3">
        <v>0.4</v>
      </c>
      <c r="J7" s="2">
        <f t="shared" si="1"/>
        <v>10000</v>
      </c>
    </row>
    <row r="8" spans="2:12" x14ac:dyDescent="0.25">
      <c r="B8" s="88"/>
      <c r="C8" s="1" t="s">
        <v>13</v>
      </c>
      <c r="D8" s="1" t="s">
        <v>7</v>
      </c>
      <c r="E8" s="2">
        <v>20000</v>
      </c>
      <c r="F8" s="3">
        <v>0.35</v>
      </c>
      <c r="G8" s="2">
        <f t="shared" si="0"/>
        <v>7000</v>
      </c>
      <c r="H8" s="2">
        <v>40000</v>
      </c>
      <c r="I8" s="3">
        <v>0.4</v>
      </c>
      <c r="J8" s="2">
        <f t="shared" si="1"/>
        <v>16000</v>
      </c>
    </row>
    <row r="9" spans="2:12" x14ac:dyDescent="0.25">
      <c r="B9" s="89"/>
      <c r="C9" s="1" t="s">
        <v>14</v>
      </c>
      <c r="D9" s="1" t="s">
        <v>7</v>
      </c>
      <c r="E9" s="2">
        <v>15000</v>
      </c>
      <c r="F9" s="3">
        <v>0.9</v>
      </c>
      <c r="G9" s="2">
        <f t="shared" si="0"/>
        <v>13500</v>
      </c>
      <c r="H9" s="2">
        <v>10000</v>
      </c>
      <c r="I9" s="3">
        <v>0.9</v>
      </c>
      <c r="J9" s="2">
        <f t="shared" si="1"/>
        <v>9000</v>
      </c>
    </row>
    <row r="10" spans="2:12" x14ac:dyDescent="0.25">
      <c r="B10" s="1" t="s">
        <v>15</v>
      </c>
      <c r="C10" s="1"/>
      <c r="D10" s="1"/>
      <c r="E10" s="2">
        <f>SUM(E3:E9)</f>
        <v>965000</v>
      </c>
      <c r="F10" s="3">
        <f>G10/E10</f>
        <v>0.255440414507772</v>
      </c>
      <c r="G10" s="2">
        <f>SUM(G3:G9)</f>
        <v>246500</v>
      </c>
      <c r="H10" s="2">
        <f>SUM(H3:H9)</f>
        <v>810000</v>
      </c>
      <c r="I10" s="3">
        <f>J10/H10</f>
        <v>0.24197530864197531</v>
      </c>
      <c r="J10" s="2">
        <f>SUM(J3:J9)</f>
        <v>196000</v>
      </c>
    </row>
    <row r="11" spans="2:12" x14ac:dyDescent="0.25">
      <c r="B11" s="5"/>
      <c r="C11" s="5"/>
      <c r="D11" s="3" t="s">
        <v>38</v>
      </c>
      <c r="E11" s="3">
        <f>E10/H10-1</f>
        <v>0.19135802469135799</v>
      </c>
      <c r="F11" s="3">
        <f>F10/I10-1</f>
        <v>5.5646610975996547E-2</v>
      </c>
      <c r="G11" s="3">
        <f>G10/J10-1</f>
        <v>0.25765306122448983</v>
      </c>
      <c r="H11" s="6"/>
      <c r="I11" s="7"/>
      <c r="J11" s="6"/>
    </row>
    <row r="13" spans="2:12" x14ac:dyDescent="0.25">
      <c r="B13" s="1" t="s">
        <v>17</v>
      </c>
      <c r="C13" s="90" t="s">
        <v>21</v>
      </c>
      <c r="D13" s="90"/>
      <c r="E13" s="90"/>
      <c r="F13" s="90"/>
      <c r="G13" s="90"/>
      <c r="H13" s="90"/>
      <c r="I13" s="90"/>
      <c r="J13" s="90"/>
      <c r="K13" s="90"/>
      <c r="L13" s="90"/>
    </row>
    <row r="14" spans="2:12" x14ac:dyDescent="0.25">
      <c r="B14" s="1"/>
      <c r="C14" s="101">
        <v>2026</v>
      </c>
      <c r="D14" s="102"/>
      <c r="E14" s="102"/>
      <c r="F14" s="102"/>
      <c r="G14" s="103"/>
      <c r="H14" s="101">
        <v>2025</v>
      </c>
      <c r="I14" s="102"/>
      <c r="J14" s="102"/>
      <c r="K14" s="102"/>
      <c r="L14" s="103"/>
    </row>
    <row r="15" spans="2:12" x14ac:dyDescent="0.25">
      <c r="B15" s="1" t="s">
        <v>20</v>
      </c>
      <c r="C15" s="4" t="s">
        <v>1</v>
      </c>
      <c r="D15" s="4" t="s">
        <v>2</v>
      </c>
      <c r="E15" s="4" t="s">
        <v>3</v>
      </c>
      <c r="F15" s="4" t="s">
        <v>4</v>
      </c>
      <c r="G15" s="4" t="s">
        <v>5</v>
      </c>
      <c r="H15" s="4" t="s">
        <v>1</v>
      </c>
      <c r="I15" s="4" t="s">
        <v>2</v>
      </c>
      <c r="J15" s="4" t="s">
        <v>3</v>
      </c>
      <c r="K15" s="4" t="s">
        <v>4</v>
      </c>
      <c r="L15" s="4" t="s">
        <v>5</v>
      </c>
    </row>
    <row r="16" spans="2:12" x14ac:dyDescent="0.25">
      <c r="B16" s="94" t="s">
        <v>18</v>
      </c>
      <c r="C16" s="9" t="s">
        <v>6</v>
      </c>
      <c r="D16" s="10" t="s">
        <v>7</v>
      </c>
      <c r="E16" s="11">
        <v>660000</v>
      </c>
      <c r="F16" s="12">
        <v>0.2</v>
      </c>
      <c r="G16" s="11">
        <f t="shared" ref="G16:G22" si="2">E16*F16</f>
        <v>132000</v>
      </c>
      <c r="H16" s="1" t="s">
        <v>6</v>
      </c>
      <c r="I16" s="10" t="s">
        <v>7</v>
      </c>
      <c r="J16" s="11">
        <v>550000</v>
      </c>
      <c r="K16" s="12">
        <v>0.185</v>
      </c>
      <c r="L16" s="11">
        <f t="shared" ref="L16:L22" si="3">J16*K16</f>
        <v>101750</v>
      </c>
    </row>
    <row r="17" spans="2:12" x14ac:dyDescent="0.25">
      <c r="B17" s="94"/>
      <c r="C17" s="9" t="s">
        <v>6</v>
      </c>
      <c r="D17" s="10" t="s">
        <v>8</v>
      </c>
      <c r="E17" s="11">
        <v>140000</v>
      </c>
      <c r="F17" s="12">
        <v>0.1</v>
      </c>
      <c r="G17" s="11">
        <f t="shared" si="2"/>
        <v>14000</v>
      </c>
      <c r="H17" s="1" t="s">
        <v>6</v>
      </c>
      <c r="I17" s="10" t="s">
        <v>8</v>
      </c>
      <c r="J17" s="11">
        <v>100000</v>
      </c>
      <c r="K17" s="12">
        <v>7.4999999999999997E-2</v>
      </c>
      <c r="L17" s="11">
        <f t="shared" si="3"/>
        <v>7500</v>
      </c>
    </row>
    <row r="18" spans="2:12" x14ac:dyDescent="0.25">
      <c r="B18" s="94"/>
      <c r="C18" s="9" t="s">
        <v>6</v>
      </c>
      <c r="D18" s="10" t="s">
        <v>9</v>
      </c>
      <c r="E18" s="11">
        <v>20000</v>
      </c>
      <c r="F18" s="12">
        <v>0.05</v>
      </c>
      <c r="G18" s="11">
        <f t="shared" si="2"/>
        <v>1000</v>
      </c>
      <c r="H18" s="1" t="s">
        <v>6</v>
      </c>
      <c r="I18" s="10" t="s">
        <v>9</v>
      </c>
      <c r="J18" s="11">
        <v>15000</v>
      </c>
      <c r="K18" s="12">
        <v>7.4999999999999997E-2</v>
      </c>
      <c r="L18" s="11">
        <f t="shared" si="3"/>
        <v>1125</v>
      </c>
    </row>
    <row r="19" spans="2:12" x14ac:dyDescent="0.25">
      <c r="B19" s="4" t="s">
        <v>19</v>
      </c>
      <c r="C19" s="9" t="s">
        <v>10</v>
      </c>
      <c r="D19" s="10" t="s">
        <v>7</v>
      </c>
      <c r="E19" s="11"/>
      <c r="F19" s="12">
        <v>0.9</v>
      </c>
      <c r="G19" s="11">
        <f t="shared" si="2"/>
        <v>0</v>
      </c>
      <c r="H19" s="1" t="s">
        <v>10</v>
      </c>
      <c r="I19" s="10" t="s">
        <v>7</v>
      </c>
      <c r="J19" s="11"/>
      <c r="K19" s="12">
        <v>0.9</v>
      </c>
      <c r="L19" s="11">
        <f t="shared" si="3"/>
        <v>0</v>
      </c>
    </row>
    <row r="20" spans="2:12" x14ac:dyDescent="0.25">
      <c r="B20" s="90" t="s">
        <v>12</v>
      </c>
      <c r="C20" s="9" t="s">
        <v>11</v>
      </c>
      <c r="D20" s="10" t="s">
        <v>7</v>
      </c>
      <c r="E20" s="11">
        <v>36000</v>
      </c>
      <c r="F20" s="12">
        <v>0.4</v>
      </c>
      <c r="G20" s="11">
        <f t="shared" si="2"/>
        <v>14400</v>
      </c>
      <c r="H20" s="1" t="s">
        <v>11</v>
      </c>
      <c r="I20" s="10" t="s">
        <v>7</v>
      </c>
      <c r="J20" s="11">
        <v>30000</v>
      </c>
      <c r="K20" s="12">
        <v>0.4</v>
      </c>
      <c r="L20" s="11">
        <f t="shared" si="3"/>
        <v>12000</v>
      </c>
    </row>
    <row r="21" spans="2:12" x14ac:dyDescent="0.25">
      <c r="B21" s="90"/>
      <c r="C21" s="9" t="s">
        <v>13</v>
      </c>
      <c r="D21" s="10" t="s">
        <v>7</v>
      </c>
      <c r="E21" s="11"/>
      <c r="F21" s="12">
        <v>0.35</v>
      </c>
      <c r="G21" s="11">
        <f t="shared" si="2"/>
        <v>0</v>
      </c>
      <c r="H21" s="1" t="s">
        <v>13</v>
      </c>
      <c r="I21" s="10" t="s">
        <v>7</v>
      </c>
      <c r="J21" s="11"/>
      <c r="K21" s="12">
        <v>0.4</v>
      </c>
      <c r="L21" s="11">
        <f t="shared" si="3"/>
        <v>0</v>
      </c>
    </row>
    <row r="22" spans="2:12" x14ac:dyDescent="0.25">
      <c r="B22" s="90"/>
      <c r="C22" s="9" t="s">
        <v>14</v>
      </c>
      <c r="D22" s="10" t="s">
        <v>7</v>
      </c>
      <c r="E22" s="11"/>
      <c r="F22" s="12">
        <v>0.9</v>
      </c>
      <c r="G22" s="11">
        <f t="shared" si="2"/>
        <v>0</v>
      </c>
      <c r="H22" s="1" t="s">
        <v>14</v>
      </c>
      <c r="I22" s="10" t="s">
        <v>7</v>
      </c>
      <c r="J22" s="11"/>
      <c r="K22" s="12">
        <v>0.9</v>
      </c>
      <c r="L22" s="11">
        <f t="shared" si="3"/>
        <v>0</v>
      </c>
    </row>
    <row r="23" spans="2:12" x14ac:dyDescent="0.25">
      <c r="B23" s="4" t="s">
        <v>33</v>
      </c>
      <c r="C23" s="9"/>
      <c r="D23" s="10"/>
      <c r="E23" s="11">
        <f>SUM(E16:E22)</f>
        <v>856000</v>
      </c>
      <c r="F23" s="12">
        <f>G23/E23</f>
        <v>0.18855140186915889</v>
      </c>
      <c r="G23" s="11">
        <f>SUM(G16:G22)</f>
        <v>161400</v>
      </c>
      <c r="H23" s="1"/>
      <c r="I23" s="10"/>
      <c r="J23" s="11">
        <f>SUM(J16:J22)</f>
        <v>695000</v>
      </c>
      <c r="K23" s="12">
        <f>L23/J23</f>
        <v>0.17607913669064748</v>
      </c>
      <c r="L23" s="11">
        <f>SUM(L16:L22)</f>
        <v>122375</v>
      </c>
    </row>
    <row r="25" spans="2:12" x14ac:dyDescent="0.25">
      <c r="B25" s="1" t="s">
        <v>24</v>
      </c>
      <c r="C25" s="2" t="s">
        <v>25</v>
      </c>
      <c r="D25" s="2" t="s">
        <v>22</v>
      </c>
      <c r="E25" s="2" t="s">
        <v>23</v>
      </c>
      <c r="F25" s="2"/>
      <c r="G25" s="2" t="s">
        <v>36</v>
      </c>
      <c r="H25" s="2" t="s">
        <v>37</v>
      </c>
    </row>
    <row r="26" spans="2:12" x14ac:dyDescent="0.25">
      <c r="B26" s="9" t="s">
        <v>35</v>
      </c>
      <c r="C26" s="11">
        <v>1</v>
      </c>
      <c r="D26" s="11">
        <v>1</v>
      </c>
      <c r="E26" s="11">
        <f>C26-D26</f>
        <v>0</v>
      </c>
      <c r="F26" s="8">
        <v>2026</v>
      </c>
      <c r="G26" s="11">
        <f>E23/C34</f>
        <v>29517.241379310344</v>
      </c>
      <c r="H26" s="11">
        <f>G23/C34</f>
        <v>5565.5172413793107</v>
      </c>
    </row>
    <row r="27" spans="2:12" x14ac:dyDescent="0.25">
      <c r="B27" s="9" t="s">
        <v>26</v>
      </c>
      <c r="C27" s="11">
        <v>5</v>
      </c>
      <c r="D27" s="11">
        <v>5</v>
      </c>
      <c r="E27" s="11">
        <f>C27-D27</f>
        <v>0</v>
      </c>
      <c r="F27" s="8">
        <v>2025</v>
      </c>
      <c r="G27" s="11">
        <f>J23/D34</f>
        <v>27800</v>
      </c>
      <c r="H27" s="11">
        <f>L23/D34</f>
        <v>4895</v>
      </c>
    </row>
    <row r="28" spans="2:12" x14ac:dyDescent="0.25">
      <c r="B28" s="9" t="s">
        <v>27</v>
      </c>
      <c r="C28" s="11">
        <v>5</v>
      </c>
      <c r="D28" s="11">
        <v>3</v>
      </c>
      <c r="E28" s="11">
        <f t="shared" ref="E28:E33" si="4">C28-D28</f>
        <v>2</v>
      </c>
      <c r="F28" s="8" t="s">
        <v>38</v>
      </c>
      <c r="G28" s="12">
        <f>G26/G27-1</f>
        <v>6.1771272637062724E-2</v>
      </c>
      <c r="H28" s="12">
        <f>H26/H27-1</f>
        <v>0.13698002888239236</v>
      </c>
    </row>
    <row r="29" spans="2:12" x14ac:dyDescent="0.25">
      <c r="B29" s="9" t="s">
        <v>28</v>
      </c>
      <c r="C29" s="11">
        <v>5</v>
      </c>
      <c r="D29" s="11">
        <v>4</v>
      </c>
      <c r="E29" s="11">
        <f t="shared" si="4"/>
        <v>1</v>
      </c>
    </row>
    <row r="30" spans="2:12" x14ac:dyDescent="0.25">
      <c r="B30" s="9" t="s">
        <v>29</v>
      </c>
      <c r="C30" s="11">
        <v>4</v>
      </c>
      <c r="D30" s="11">
        <v>4</v>
      </c>
      <c r="E30" s="11">
        <f t="shared" si="4"/>
        <v>0</v>
      </c>
    </row>
    <row r="31" spans="2:12" x14ac:dyDescent="0.25">
      <c r="B31" s="9" t="s">
        <v>30</v>
      </c>
      <c r="C31" s="11">
        <v>4</v>
      </c>
      <c r="D31" s="11">
        <v>3</v>
      </c>
      <c r="E31" s="11">
        <f t="shared" si="4"/>
        <v>1</v>
      </c>
    </row>
    <row r="32" spans="2:12" x14ac:dyDescent="0.25">
      <c r="B32" s="9" t="s">
        <v>31</v>
      </c>
      <c r="C32" s="11">
        <v>2</v>
      </c>
      <c r="D32" s="11">
        <v>2</v>
      </c>
      <c r="E32" s="11">
        <f t="shared" si="4"/>
        <v>0</v>
      </c>
    </row>
    <row r="33" spans="2:5" x14ac:dyDescent="0.25">
      <c r="B33" s="9" t="s">
        <v>32</v>
      </c>
      <c r="C33" s="11">
        <v>3</v>
      </c>
      <c r="D33" s="11">
        <v>3</v>
      </c>
      <c r="E33" s="11">
        <f t="shared" si="4"/>
        <v>0</v>
      </c>
    </row>
    <row r="34" spans="2:5" x14ac:dyDescent="0.25">
      <c r="B34" s="1" t="s">
        <v>34</v>
      </c>
      <c r="C34" s="2">
        <f>SUM(C26:C33)</f>
        <v>29</v>
      </c>
      <c r="D34" s="2">
        <f>SUM(D26:D33)</f>
        <v>25</v>
      </c>
      <c r="E34" s="2">
        <f>SUM(E26:E33)</f>
        <v>4</v>
      </c>
    </row>
  </sheetData>
  <mergeCells count="10">
    <mergeCell ref="B20:B22"/>
    <mergeCell ref="C14:G14"/>
    <mergeCell ref="H14:L14"/>
    <mergeCell ref="C13:L13"/>
    <mergeCell ref="E1:G1"/>
    <mergeCell ref="H1:J1"/>
    <mergeCell ref="B1:D1"/>
    <mergeCell ref="B7:B9"/>
    <mergeCell ref="B3:B5"/>
    <mergeCell ref="B16:B18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3DC-F72A-4171-87EA-B54F70609FF1}">
  <dimension ref="B1:L34"/>
  <sheetViews>
    <sheetView topLeftCell="A10" workbookViewId="0">
      <selection activeCell="P21" sqref="P21"/>
    </sheetView>
  </sheetViews>
  <sheetFormatPr defaultRowHeight="16.5" x14ac:dyDescent="0.25"/>
  <cols>
    <col min="2" max="2" width="13.5" customWidth="1"/>
    <col min="3" max="3" width="12.375" bestFit="1" customWidth="1"/>
    <col min="4" max="4" width="9.875" customWidth="1"/>
    <col min="5" max="10" width="12.5" customWidth="1"/>
    <col min="11" max="11" width="11.875" customWidth="1"/>
    <col min="12" max="12" width="14.125" customWidth="1"/>
  </cols>
  <sheetData>
    <row r="1" spans="2:12" x14ac:dyDescent="0.25">
      <c r="B1" s="90" t="s">
        <v>16</v>
      </c>
      <c r="C1" s="90"/>
      <c r="D1" s="90"/>
      <c r="E1" s="90">
        <v>2026</v>
      </c>
      <c r="F1" s="90"/>
      <c r="G1" s="90"/>
      <c r="H1" s="90">
        <v>2025</v>
      </c>
      <c r="I1" s="90"/>
      <c r="J1" s="90"/>
    </row>
    <row r="2" spans="2:12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3</v>
      </c>
      <c r="I2" s="4" t="s">
        <v>4</v>
      </c>
      <c r="J2" s="4" t="s">
        <v>5</v>
      </c>
    </row>
    <row r="3" spans="2:12" x14ac:dyDescent="0.25">
      <c r="B3" s="91" t="s">
        <v>18</v>
      </c>
      <c r="C3" s="1" t="s">
        <v>6</v>
      </c>
      <c r="D3" s="1" t="s">
        <v>7</v>
      </c>
      <c r="E3" s="2">
        <v>660000</v>
      </c>
      <c r="F3" s="3">
        <v>0.2</v>
      </c>
      <c r="G3" s="2">
        <f t="shared" ref="G3:G9" si="0">E3*F3</f>
        <v>132000</v>
      </c>
      <c r="H3" s="2">
        <v>550000</v>
      </c>
      <c r="I3" s="3">
        <v>0.185</v>
      </c>
      <c r="J3" s="2">
        <f t="shared" ref="J3:J9" si="1">H3*I3</f>
        <v>101750</v>
      </c>
    </row>
    <row r="4" spans="2:12" x14ac:dyDescent="0.25">
      <c r="B4" s="92"/>
      <c r="C4" s="1" t="s">
        <v>6</v>
      </c>
      <c r="D4" s="1" t="s">
        <v>8</v>
      </c>
      <c r="E4" s="2">
        <v>140000</v>
      </c>
      <c r="F4" s="3">
        <v>0.1</v>
      </c>
      <c r="G4" s="2">
        <f t="shared" si="0"/>
        <v>14000</v>
      </c>
      <c r="H4" s="2">
        <v>100000</v>
      </c>
      <c r="I4" s="3">
        <v>7.4999999999999997E-2</v>
      </c>
      <c r="J4" s="2">
        <f t="shared" si="1"/>
        <v>7500</v>
      </c>
    </row>
    <row r="5" spans="2:12" x14ac:dyDescent="0.25">
      <c r="B5" s="93"/>
      <c r="C5" s="1" t="s">
        <v>6</v>
      </c>
      <c r="D5" s="1" t="s">
        <v>9</v>
      </c>
      <c r="E5" s="2">
        <v>20000</v>
      </c>
      <c r="F5" s="3">
        <v>0.05</v>
      </c>
      <c r="G5" s="2">
        <f t="shared" si="0"/>
        <v>1000</v>
      </c>
      <c r="H5" s="2">
        <v>30000</v>
      </c>
      <c r="I5" s="3">
        <v>7.4999999999999997E-2</v>
      </c>
      <c r="J5" s="2">
        <f t="shared" si="1"/>
        <v>2250</v>
      </c>
    </row>
    <row r="6" spans="2:12" x14ac:dyDescent="0.25">
      <c r="B6" s="4" t="s">
        <v>19</v>
      </c>
      <c r="C6" s="1" t="s">
        <v>10</v>
      </c>
      <c r="D6" s="1" t="s">
        <v>7</v>
      </c>
      <c r="E6" s="2">
        <v>70000</v>
      </c>
      <c r="F6" s="3">
        <v>0.9</v>
      </c>
      <c r="G6" s="2">
        <f t="shared" si="0"/>
        <v>63000</v>
      </c>
      <c r="H6" s="2">
        <v>55000</v>
      </c>
      <c r="I6" s="3">
        <v>0.9</v>
      </c>
      <c r="J6" s="2">
        <f t="shared" si="1"/>
        <v>49500</v>
      </c>
    </row>
    <row r="7" spans="2:12" x14ac:dyDescent="0.25">
      <c r="B7" s="87" t="s">
        <v>12</v>
      </c>
      <c r="C7" s="1" t="s">
        <v>11</v>
      </c>
      <c r="D7" s="1" t="s">
        <v>7</v>
      </c>
      <c r="E7" s="2">
        <v>40000</v>
      </c>
      <c r="F7" s="3">
        <v>0.4</v>
      </c>
      <c r="G7" s="2">
        <f t="shared" si="0"/>
        <v>16000</v>
      </c>
      <c r="H7" s="2">
        <v>25000</v>
      </c>
      <c r="I7" s="3">
        <v>0.4</v>
      </c>
      <c r="J7" s="2">
        <f t="shared" si="1"/>
        <v>10000</v>
      </c>
    </row>
    <row r="8" spans="2:12" x14ac:dyDescent="0.25">
      <c r="B8" s="88"/>
      <c r="C8" s="1" t="s">
        <v>13</v>
      </c>
      <c r="D8" s="1" t="s">
        <v>7</v>
      </c>
      <c r="E8" s="2">
        <v>20000</v>
      </c>
      <c r="F8" s="3">
        <v>0.35</v>
      </c>
      <c r="G8" s="2">
        <f t="shared" si="0"/>
        <v>7000</v>
      </c>
      <c r="H8" s="2">
        <v>40000</v>
      </c>
      <c r="I8" s="3">
        <v>0.4</v>
      </c>
      <c r="J8" s="2">
        <f t="shared" si="1"/>
        <v>16000</v>
      </c>
    </row>
    <row r="9" spans="2:12" x14ac:dyDescent="0.25">
      <c r="B9" s="89"/>
      <c r="C9" s="1" t="s">
        <v>14</v>
      </c>
      <c r="D9" s="1" t="s">
        <v>7</v>
      </c>
      <c r="E9" s="2">
        <v>15000</v>
      </c>
      <c r="F9" s="3">
        <v>0.9</v>
      </c>
      <c r="G9" s="2">
        <f t="shared" si="0"/>
        <v>13500</v>
      </c>
      <c r="H9" s="2">
        <v>10000</v>
      </c>
      <c r="I9" s="3">
        <v>0.9</v>
      </c>
      <c r="J9" s="2">
        <f t="shared" si="1"/>
        <v>9000</v>
      </c>
    </row>
    <row r="10" spans="2:12" x14ac:dyDescent="0.25">
      <c r="B10" s="1" t="s">
        <v>15</v>
      </c>
      <c r="C10" s="1"/>
      <c r="D10" s="1"/>
      <c r="E10" s="2">
        <f>SUM(E3:E9)</f>
        <v>965000</v>
      </c>
      <c r="F10" s="3">
        <f>G10/E10</f>
        <v>0.255440414507772</v>
      </c>
      <c r="G10" s="2">
        <f>SUM(G3:G9)</f>
        <v>246500</v>
      </c>
      <c r="H10" s="2">
        <f>SUM(H3:H9)</f>
        <v>810000</v>
      </c>
      <c r="I10" s="3">
        <f>J10/H10</f>
        <v>0.24197530864197531</v>
      </c>
      <c r="J10" s="2">
        <f>SUM(J3:J9)</f>
        <v>196000</v>
      </c>
    </row>
    <row r="11" spans="2:12" x14ac:dyDescent="0.25">
      <c r="B11" s="5"/>
      <c r="C11" s="5"/>
      <c r="D11" s="3" t="s">
        <v>38</v>
      </c>
      <c r="E11" s="3">
        <f>E10/H10-1</f>
        <v>0.19135802469135799</v>
      </c>
      <c r="F11" s="3">
        <f>F10/I10-1</f>
        <v>5.5646610975996547E-2</v>
      </c>
      <c r="G11" s="3">
        <f>G10/J10-1</f>
        <v>0.25765306122448983</v>
      </c>
      <c r="H11" s="6"/>
      <c r="I11" s="7"/>
      <c r="J11" s="6"/>
    </row>
    <row r="13" spans="2:12" x14ac:dyDescent="0.25">
      <c r="B13" s="1" t="s">
        <v>17</v>
      </c>
      <c r="C13" s="90" t="s">
        <v>39</v>
      </c>
      <c r="D13" s="90"/>
      <c r="E13" s="90"/>
      <c r="F13" s="90"/>
      <c r="G13" s="90"/>
      <c r="H13" s="90"/>
      <c r="I13" s="90"/>
      <c r="J13" s="90"/>
      <c r="K13" s="90"/>
      <c r="L13" s="90"/>
    </row>
    <row r="14" spans="2:12" x14ac:dyDescent="0.25">
      <c r="B14" s="1"/>
      <c r="C14" s="101">
        <v>2026</v>
      </c>
      <c r="D14" s="102"/>
      <c r="E14" s="102"/>
      <c r="F14" s="102"/>
      <c r="G14" s="103"/>
      <c r="H14" s="101">
        <v>2025</v>
      </c>
      <c r="I14" s="102"/>
      <c r="J14" s="102"/>
      <c r="K14" s="102"/>
      <c r="L14" s="103"/>
    </row>
    <row r="15" spans="2:12" x14ac:dyDescent="0.25">
      <c r="B15" s="1" t="s">
        <v>20</v>
      </c>
      <c r="C15" s="4" t="s">
        <v>1</v>
      </c>
      <c r="D15" s="4" t="s">
        <v>2</v>
      </c>
      <c r="E15" s="4" t="s">
        <v>3</v>
      </c>
      <c r="F15" s="4" t="s">
        <v>4</v>
      </c>
      <c r="G15" s="4" t="s">
        <v>5</v>
      </c>
      <c r="H15" s="4" t="s">
        <v>1</v>
      </c>
      <c r="I15" s="4" t="s">
        <v>2</v>
      </c>
      <c r="J15" s="4" t="s">
        <v>3</v>
      </c>
      <c r="K15" s="4" t="s">
        <v>4</v>
      </c>
      <c r="L15" s="4" t="s">
        <v>5</v>
      </c>
    </row>
    <row r="16" spans="2:12" x14ac:dyDescent="0.25">
      <c r="B16" s="94" t="s">
        <v>18</v>
      </c>
      <c r="C16" s="9" t="s">
        <v>6</v>
      </c>
      <c r="D16" s="10" t="s">
        <v>7</v>
      </c>
      <c r="E16" s="11">
        <v>660000</v>
      </c>
      <c r="F16" s="12">
        <v>0.2</v>
      </c>
      <c r="G16" s="11">
        <f>E16*F16</f>
        <v>132000</v>
      </c>
      <c r="H16" s="1" t="s">
        <v>6</v>
      </c>
      <c r="I16" s="10" t="s">
        <v>7</v>
      </c>
      <c r="J16" s="11">
        <v>550000</v>
      </c>
      <c r="K16" s="12">
        <v>0.185</v>
      </c>
      <c r="L16" s="11">
        <f>J16*K16</f>
        <v>101750</v>
      </c>
    </row>
    <row r="17" spans="2:12" x14ac:dyDescent="0.25">
      <c r="B17" s="94"/>
      <c r="C17" s="9" t="s">
        <v>6</v>
      </c>
      <c r="D17" s="10" t="s">
        <v>8</v>
      </c>
      <c r="E17" s="11">
        <v>140000</v>
      </c>
      <c r="F17" s="12">
        <v>0.1</v>
      </c>
      <c r="G17" s="11">
        <f>E17*F17</f>
        <v>14000</v>
      </c>
      <c r="H17" s="1" t="s">
        <v>6</v>
      </c>
      <c r="I17" s="10" t="s">
        <v>8</v>
      </c>
      <c r="J17" s="11">
        <v>100000</v>
      </c>
      <c r="K17" s="12">
        <v>7.4999999999999997E-2</v>
      </c>
      <c r="L17" s="11">
        <f>J17*K17</f>
        <v>7500</v>
      </c>
    </row>
    <row r="18" spans="2:12" x14ac:dyDescent="0.25">
      <c r="B18" s="94"/>
      <c r="C18" s="9" t="s">
        <v>6</v>
      </c>
      <c r="D18" s="10" t="s">
        <v>9</v>
      </c>
      <c r="E18" s="11">
        <v>20000</v>
      </c>
      <c r="F18" s="12">
        <v>0.05</v>
      </c>
      <c r="G18" s="11">
        <f>E18*F18</f>
        <v>1000</v>
      </c>
      <c r="H18" s="1" t="s">
        <v>6</v>
      </c>
      <c r="I18" s="10" t="s">
        <v>9</v>
      </c>
      <c r="J18" s="11">
        <v>30000</v>
      </c>
      <c r="K18" s="12">
        <v>7.4999999999999997E-2</v>
      </c>
      <c r="L18" s="11">
        <f>J18*K18</f>
        <v>2250</v>
      </c>
    </row>
    <row r="19" spans="2:12" x14ac:dyDescent="0.25">
      <c r="B19" s="4" t="s">
        <v>19</v>
      </c>
      <c r="C19" s="9" t="s">
        <v>10</v>
      </c>
      <c r="D19" s="10" t="s">
        <v>7</v>
      </c>
      <c r="E19" s="11">
        <v>70000</v>
      </c>
      <c r="F19" s="12">
        <v>0.9</v>
      </c>
      <c r="G19" s="11">
        <f>E19*F19</f>
        <v>63000</v>
      </c>
      <c r="H19" s="1" t="s">
        <v>10</v>
      </c>
      <c r="I19" s="10" t="s">
        <v>7</v>
      </c>
      <c r="J19" s="11">
        <v>55000</v>
      </c>
      <c r="K19" s="12">
        <v>0.9</v>
      </c>
      <c r="L19" s="11">
        <f>J19*K19</f>
        <v>49500</v>
      </c>
    </row>
    <row r="20" spans="2:12" x14ac:dyDescent="0.25">
      <c r="B20" s="90" t="s">
        <v>12</v>
      </c>
      <c r="C20" s="9"/>
      <c r="D20" s="10"/>
      <c r="E20" s="11"/>
      <c r="F20" s="12"/>
      <c r="G20" s="11"/>
      <c r="H20" s="1" t="s">
        <v>11</v>
      </c>
      <c r="I20" s="10" t="s">
        <v>7</v>
      </c>
      <c r="J20" s="11"/>
      <c r="K20" s="12"/>
      <c r="L20" s="11"/>
    </row>
    <row r="21" spans="2:12" x14ac:dyDescent="0.25">
      <c r="B21" s="90"/>
      <c r="C21" s="9" t="s">
        <v>13</v>
      </c>
      <c r="D21" s="9" t="s">
        <v>7</v>
      </c>
      <c r="E21" s="11">
        <v>20000</v>
      </c>
      <c r="F21" s="12">
        <v>0.35</v>
      </c>
      <c r="G21" s="11">
        <f>E21*F21</f>
        <v>7000</v>
      </c>
      <c r="H21" s="1" t="s">
        <v>13</v>
      </c>
      <c r="I21" s="10" t="s">
        <v>7</v>
      </c>
      <c r="J21" s="11">
        <v>40000</v>
      </c>
      <c r="K21" s="12">
        <v>0.4</v>
      </c>
      <c r="L21" s="11">
        <f>J21*K21</f>
        <v>16000</v>
      </c>
    </row>
    <row r="22" spans="2:12" x14ac:dyDescent="0.25">
      <c r="B22" s="90"/>
      <c r="C22" s="9"/>
      <c r="D22" s="10"/>
      <c r="E22" s="11"/>
      <c r="F22" s="12"/>
      <c r="G22" s="11"/>
      <c r="H22" s="1" t="s">
        <v>14</v>
      </c>
      <c r="I22" s="10" t="s">
        <v>7</v>
      </c>
      <c r="J22" s="11"/>
      <c r="K22" s="12"/>
      <c r="L22" s="11"/>
    </row>
    <row r="23" spans="2:12" x14ac:dyDescent="0.25">
      <c r="B23" s="4" t="s">
        <v>33</v>
      </c>
      <c r="C23" s="9"/>
      <c r="D23" s="10"/>
      <c r="E23" s="11">
        <f>SUM(E16:E22)</f>
        <v>910000</v>
      </c>
      <c r="F23" s="12">
        <f>G23/E23</f>
        <v>0.23846153846153847</v>
      </c>
      <c r="G23" s="11">
        <f>SUM(G16:G22)</f>
        <v>217000</v>
      </c>
      <c r="H23" s="1"/>
      <c r="I23" s="10"/>
      <c r="J23" s="11">
        <f>SUM(J16:J22)</f>
        <v>775000</v>
      </c>
      <c r="K23" s="12">
        <f>L23/J23</f>
        <v>0.22838709677419355</v>
      </c>
      <c r="L23" s="11">
        <f>SUM(L16:L22)</f>
        <v>177000</v>
      </c>
    </row>
    <row r="25" spans="2:12" x14ac:dyDescent="0.25">
      <c r="B25" s="1" t="s">
        <v>24</v>
      </c>
      <c r="C25" s="2" t="s">
        <v>25</v>
      </c>
      <c r="D25" s="2" t="s">
        <v>22</v>
      </c>
      <c r="E25" s="2" t="s">
        <v>23</v>
      </c>
      <c r="F25" s="2"/>
      <c r="G25" s="2" t="s">
        <v>36</v>
      </c>
      <c r="H25" s="2" t="s">
        <v>37</v>
      </c>
    </row>
    <row r="26" spans="2:12" x14ac:dyDescent="0.25">
      <c r="B26" s="9" t="s">
        <v>35</v>
      </c>
      <c r="C26" s="11">
        <v>1</v>
      </c>
      <c r="D26" s="11">
        <v>1</v>
      </c>
      <c r="E26" s="11">
        <f>C26-D26</f>
        <v>0</v>
      </c>
      <c r="F26" s="8">
        <v>2026</v>
      </c>
      <c r="G26" s="11">
        <f>E23/C34</f>
        <v>65000</v>
      </c>
      <c r="H26" s="11">
        <f>G23/C34</f>
        <v>15500</v>
      </c>
    </row>
    <row r="27" spans="2:12" x14ac:dyDescent="0.25">
      <c r="B27" s="9" t="s">
        <v>39</v>
      </c>
      <c r="C27" s="11">
        <v>4</v>
      </c>
      <c r="D27" s="11">
        <v>4</v>
      </c>
      <c r="E27" s="11">
        <f>C27-D27</f>
        <v>0</v>
      </c>
      <c r="F27" s="8">
        <v>2025</v>
      </c>
      <c r="G27" s="11">
        <f>J23/D34</f>
        <v>64583.333333333336</v>
      </c>
      <c r="H27" s="11">
        <f>L23/D34</f>
        <v>14750</v>
      </c>
    </row>
    <row r="28" spans="2:12" x14ac:dyDescent="0.25">
      <c r="B28" s="9" t="s">
        <v>40</v>
      </c>
      <c r="C28" s="11">
        <v>9</v>
      </c>
      <c r="D28" s="11">
        <v>7</v>
      </c>
      <c r="E28" s="11">
        <f>C28-D28</f>
        <v>2</v>
      </c>
      <c r="F28" s="8" t="s">
        <v>38</v>
      </c>
      <c r="G28" s="12">
        <f>G26/G27-1</f>
        <v>6.4516129032257119E-3</v>
      </c>
      <c r="H28" s="12">
        <f>H26/H27-1</f>
        <v>5.0847457627118731E-2</v>
      </c>
    </row>
    <row r="29" spans="2:12" x14ac:dyDescent="0.25">
      <c r="B29" s="9"/>
      <c r="C29" s="11"/>
      <c r="D29" s="11"/>
      <c r="E29" s="11"/>
    </row>
    <row r="30" spans="2:12" x14ac:dyDescent="0.25">
      <c r="B30" s="9"/>
      <c r="C30" s="11"/>
      <c r="D30" s="11"/>
      <c r="E30" s="11"/>
    </row>
    <row r="31" spans="2:12" x14ac:dyDescent="0.25">
      <c r="B31" s="9"/>
      <c r="C31" s="11"/>
      <c r="D31" s="11"/>
      <c r="E31" s="11"/>
    </row>
    <row r="32" spans="2:12" x14ac:dyDescent="0.25">
      <c r="B32" s="9"/>
      <c r="C32" s="11"/>
      <c r="D32" s="11"/>
      <c r="E32" s="11"/>
    </row>
    <row r="33" spans="2:5" x14ac:dyDescent="0.25">
      <c r="B33" s="9"/>
      <c r="C33" s="11"/>
      <c r="D33" s="11"/>
      <c r="E33" s="11"/>
    </row>
    <row r="34" spans="2:5" x14ac:dyDescent="0.25">
      <c r="B34" s="1" t="s">
        <v>34</v>
      </c>
      <c r="C34" s="2">
        <f>SUM(C26:C33)</f>
        <v>14</v>
      </c>
      <c r="D34" s="2">
        <f>SUM(D26:D33)</f>
        <v>12</v>
      </c>
      <c r="E34" s="2">
        <f>SUM(E26:E33)</f>
        <v>2</v>
      </c>
    </row>
  </sheetData>
  <mergeCells count="10">
    <mergeCell ref="C14:G14"/>
    <mergeCell ref="H14:L14"/>
    <mergeCell ref="B16:B18"/>
    <mergeCell ref="B20:B22"/>
    <mergeCell ref="B1:D1"/>
    <mergeCell ref="E1:G1"/>
    <mergeCell ref="H1:J1"/>
    <mergeCell ref="B3:B5"/>
    <mergeCell ref="B7:B9"/>
    <mergeCell ref="C13:L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服務導入課&amp;客戶服務課</vt:lpstr>
      <vt:lpstr>2027年營收與人力資源規劃</vt:lpstr>
      <vt:lpstr>業務部門範例</vt:lpstr>
      <vt:lpstr>內部計價部門範例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Fontrip pitt</dc:creator>
  <cp:lastModifiedBy>Fontrip</cp:lastModifiedBy>
  <dcterms:created xsi:type="dcterms:W3CDTF">2025-10-01T13:14:22Z</dcterms:created>
  <dcterms:modified xsi:type="dcterms:W3CDTF">2026-09-21T00:58:32Z</dcterms:modified>
</cp:coreProperties>
</file>